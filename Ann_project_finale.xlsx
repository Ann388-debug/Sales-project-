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D941933-BEF5-440B-9422-825E1A8B74BD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retail_sales_data" sheetId="1" r:id="rId1"/>
    <sheet name="PIVOT TABLE " sheetId="3" r:id="rId2"/>
    <sheet name="PV.2" sheetId="4" r:id="rId3"/>
    <sheet name="PV. 3" sheetId="5" r:id="rId4"/>
    <sheet name="RETAIL_DATA" sheetId="2" r:id="rId5"/>
  </sheets>
  <definedNames>
    <definedName name="_xlnm._FilterDatabase" localSheetId="4" hidden="1">RETAIL_DATA!$E$1:$E$201</definedName>
  </definedNames>
  <calcPr calcId="191029"/>
  <pivotCaches>
    <pivotCache cacheId="7" r:id="rId6"/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2" l="1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<sst xmlns="http://schemas.openxmlformats.org/spreadsheetml/2006/main" count="2843" uniqueCount="641">
  <si>
    <t>OrderID</t>
  </si>
  <si>
    <t>OrderDate</t>
  </si>
  <si>
    <t>CustomerID</t>
  </si>
  <si>
    <t>CustomerName</t>
  </si>
  <si>
    <t>Region</t>
  </si>
  <si>
    <t>ProductCategory</t>
  </si>
  <si>
    <t>ProductName</t>
  </si>
  <si>
    <t>Quantity</t>
  </si>
  <si>
    <t>UnitPrice</t>
  </si>
  <si>
    <t>PaymentMethod</t>
  </si>
  <si>
    <t>ORD0001</t>
  </si>
  <si>
    <t>CUST8108</t>
  </si>
  <si>
    <t>Christopher Holt</t>
  </si>
  <si>
    <t>Kisumu</t>
  </si>
  <si>
    <t>Laptop</t>
  </si>
  <si>
    <t>MacBook Air</t>
  </si>
  <si>
    <t>Online Transfer</t>
  </si>
  <si>
    <t>ORD0002</t>
  </si>
  <si>
    <t>CUST4908</t>
  </si>
  <si>
    <t>Amanda James</t>
  </si>
  <si>
    <t>Nairobi</t>
  </si>
  <si>
    <t>HP Pavilion</t>
  </si>
  <si>
    <t>M-Pesa</t>
  </si>
  <si>
    <t>ORD0003</t>
  </si>
  <si>
    <t>CUST2206</t>
  </si>
  <si>
    <t>Maria Williams</t>
  </si>
  <si>
    <t>Tablet</t>
  </si>
  <si>
    <t>Lenovo Tab</t>
  </si>
  <si>
    <t>ORD0004</t>
  </si>
  <si>
    <t>CUST9048</t>
  </si>
  <si>
    <t>Mark Clark</t>
  </si>
  <si>
    <t>Eldoret</t>
  </si>
  <si>
    <t>Lenovo ThinkPad</t>
  </si>
  <si>
    <t>Card</t>
  </si>
  <si>
    <t>ORD0005</t>
  </si>
  <si>
    <t>CUST9382</t>
  </si>
  <si>
    <t>Gavin Acosta</t>
  </si>
  <si>
    <t>Phone</t>
  </si>
  <si>
    <t>iPhone 13</t>
  </si>
  <si>
    <t>ORD0006</t>
  </si>
  <si>
    <t>CUST5475</t>
  </si>
  <si>
    <t>Elizabeth Davis</t>
  </si>
  <si>
    <t>ORD0007</t>
  </si>
  <si>
    <t>CUST4404</t>
  </si>
  <si>
    <t>Charles Morgan</t>
  </si>
  <si>
    <t>Accessories</t>
  </si>
  <si>
    <t>Headphones</t>
  </si>
  <si>
    <t>Cash</t>
  </si>
  <si>
    <t>ORD0008</t>
  </si>
  <si>
    <t>CUST7815</t>
  </si>
  <si>
    <t>Jacob Miller II</t>
  </si>
  <si>
    <t>Charger</t>
  </si>
  <si>
    <t>ORD0009</t>
  </si>
  <si>
    <t>CUST6758</t>
  </si>
  <si>
    <t>Phyllis Gonzalez</t>
  </si>
  <si>
    <t>ORD0010</t>
  </si>
  <si>
    <t>CUST2484</t>
  </si>
  <si>
    <t>Robert Miles</t>
  </si>
  <si>
    <t>ORD0011</t>
  </si>
  <si>
    <t>CUST7413</t>
  </si>
  <si>
    <t>Virginia Martin</t>
  </si>
  <si>
    <t>Mombasa</t>
  </si>
  <si>
    <t>Samsung Galaxy S21</t>
  </si>
  <si>
    <t>ORD0012</t>
  </si>
  <si>
    <t>CUST9346</t>
  </si>
  <si>
    <t>Micheal Fletcher</t>
  </si>
  <si>
    <t>ORD0013</t>
  </si>
  <si>
    <t>CUST5851</t>
  </si>
  <si>
    <t>Brittany Bartlett</t>
  </si>
  <si>
    <t>ORD0014</t>
  </si>
  <si>
    <t>CUST8368</t>
  </si>
  <si>
    <t>Patrick Matthews</t>
  </si>
  <si>
    <t>ORD0015</t>
  </si>
  <si>
    <t>CUST6503</t>
  </si>
  <si>
    <t>Robin Clay</t>
  </si>
  <si>
    <t>ORD0016</t>
  </si>
  <si>
    <t>CUST9997</t>
  </si>
  <si>
    <t>Andrew Johnson</t>
  </si>
  <si>
    <t>Huawei P30</t>
  </si>
  <si>
    <t>ORD0017</t>
  </si>
  <si>
    <t>CUST7074</t>
  </si>
  <si>
    <t>Donna Anderson</t>
  </si>
  <si>
    <t>ORD0018</t>
  </si>
  <si>
    <t>CUST3283</t>
  </si>
  <si>
    <t>Kimberly Price</t>
  </si>
  <si>
    <t>iPad Pro</t>
  </si>
  <si>
    <t>ORD0019</t>
  </si>
  <si>
    <t>CUST4980</t>
  </si>
  <si>
    <t>Sue Bates</t>
  </si>
  <si>
    <t>ORD0020</t>
  </si>
  <si>
    <t>CUST2599</t>
  </si>
  <si>
    <t>Christian Smith</t>
  </si>
  <si>
    <t>ORD0021</t>
  </si>
  <si>
    <t>CUST5981</t>
  </si>
  <si>
    <t>Tony Foster</t>
  </si>
  <si>
    <t>Tecno Spark</t>
  </si>
  <si>
    <t>ORD0022</t>
  </si>
  <si>
    <t>CUST9731</t>
  </si>
  <si>
    <t>April Henry</t>
  </si>
  <si>
    <t>ORD0023</t>
  </si>
  <si>
    <t>CUST8306</t>
  </si>
  <si>
    <t>James Smith</t>
  </si>
  <si>
    <t>ORD0024</t>
  </si>
  <si>
    <t>CUST5049</t>
  </si>
  <si>
    <t>Rebecca Nolan</t>
  </si>
  <si>
    <t>ORD0025</t>
  </si>
  <si>
    <t>CUST3252</t>
  </si>
  <si>
    <t>Shannon Reyes</t>
  </si>
  <si>
    <t>Dell Inspiron</t>
  </si>
  <si>
    <t>ORD0026</t>
  </si>
  <si>
    <t>CUST9172</t>
  </si>
  <si>
    <t>Julia Taylor</t>
  </si>
  <si>
    <t>ORD0027</t>
  </si>
  <si>
    <t>CUST8270</t>
  </si>
  <si>
    <t>Crystal Campbell</t>
  </si>
  <si>
    <t>ORD0028</t>
  </si>
  <si>
    <t>CUST9231</t>
  </si>
  <si>
    <t>Rebecca Evans</t>
  </si>
  <si>
    <t>ORD0029</t>
  </si>
  <si>
    <t>CUST4583</t>
  </si>
  <si>
    <t>Becky Beltran</t>
  </si>
  <si>
    <t>ORD0030</t>
  </si>
  <si>
    <t>CUST8453</t>
  </si>
  <si>
    <t>Erin Williams</t>
  </si>
  <si>
    <t>Amazon Fire</t>
  </si>
  <si>
    <t>ORD0031</t>
  </si>
  <si>
    <t>CUST1748</t>
  </si>
  <si>
    <t>Jesse Holmes</t>
  </si>
  <si>
    <t>ORD0032</t>
  </si>
  <si>
    <t>CUST9090</t>
  </si>
  <si>
    <t>Jeffrey Hughes</t>
  </si>
  <si>
    <t>Wireless Mouse</t>
  </si>
  <si>
    <t>ORD0033</t>
  </si>
  <si>
    <t>CUST8331</t>
  </si>
  <si>
    <t>Cynthia Ponce MD</t>
  </si>
  <si>
    <t>ORD0034</t>
  </si>
  <si>
    <t>CUST5154</t>
  </si>
  <si>
    <t>Lisa Anderson</t>
  </si>
  <si>
    <t>ORD0035</t>
  </si>
  <si>
    <t>CUST5108</t>
  </si>
  <si>
    <t>Jesse Harris</t>
  </si>
  <si>
    <t>ORD0036</t>
  </si>
  <si>
    <t>CUST8443</t>
  </si>
  <si>
    <t>Daniel Vega</t>
  </si>
  <si>
    <t>Keyboard</t>
  </si>
  <si>
    <t>ORD0037</t>
  </si>
  <si>
    <t>CUST5311</t>
  </si>
  <si>
    <t>Eric Hudson</t>
  </si>
  <si>
    <t>ORD0038</t>
  </si>
  <si>
    <t>CUST5199</t>
  </si>
  <si>
    <t>Jonathan Aguirre</t>
  </si>
  <si>
    <t>ORD0039</t>
  </si>
  <si>
    <t>CUST5831</t>
  </si>
  <si>
    <t>Stephanie Salazar</t>
  </si>
  <si>
    <t>ORD0040</t>
  </si>
  <si>
    <t>CUST9276</t>
  </si>
  <si>
    <t>Brianna Gutierrez</t>
  </si>
  <si>
    <t>ORD0041</t>
  </si>
  <si>
    <t>CUST6412</t>
  </si>
  <si>
    <t>Lisa Thomas</t>
  </si>
  <si>
    <t>ORD0042</t>
  </si>
  <si>
    <t>CUST5715</t>
  </si>
  <si>
    <t>Brandy Hernandez</t>
  </si>
  <si>
    <t>ORD0043</t>
  </si>
  <si>
    <t>CUST1164</t>
  </si>
  <si>
    <t>Brandon Anderson</t>
  </si>
  <si>
    <t>ORD0044</t>
  </si>
  <si>
    <t>CUST5369</t>
  </si>
  <si>
    <t>Crystal Bryant</t>
  </si>
  <si>
    <t>ORD0045</t>
  </si>
  <si>
    <t>CUST4663</t>
  </si>
  <si>
    <t>Kayla Hurley</t>
  </si>
  <si>
    <t>ORD0046</t>
  </si>
  <si>
    <t>CUST8485</t>
  </si>
  <si>
    <t>Julie Carroll</t>
  </si>
  <si>
    <t>ORD0047</t>
  </si>
  <si>
    <t>CUST9378</t>
  </si>
  <si>
    <t>Scott Jones</t>
  </si>
  <si>
    <t>ORD0048</t>
  </si>
  <si>
    <t>CUST6449</t>
  </si>
  <si>
    <t>Michael Ware</t>
  </si>
  <si>
    <t>ORD0049</t>
  </si>
  <si>
    <t>CUST9360</t>
  </si>
  <si>
    <t>Marvin Horn</t>
  </si>
  <si>
    <t>ORD0050</t>
  </si>
  <si>
    <t>CUST9004</t>
  </si>
  <si>
    <t>Erik Winters</t>
  </si>
  <si>
    <t>ORD0051</t>
  </si>
  <si>
    <t>CUST4251</t>
  </si>
  <si>
    <t>Kristina Martinez</t>
  </si>
  <si>
    <t>ORD0052</t>
  </si>
  <si>
    <t>CUST4666</t>
  </si>
  <si>
    <t>Derek Adkins</t>
  </si>
  <si>
    <t>ORD0053</t>
  </si>
  <si>
    <t>CUST3052</t>
  </si>
  <si>
    <t>Joshua Campbell</t>
  </si>
  <si>
    <t>ORD0054</t>
  </si>
  <si>
    <t>CUST9153</t>
  </si>
  <si>
    <t>Debbie Walters</t>
  </si>
  <si>
    <t>ORD0055</t>
  </si>
  <si>
    <t>CUST9105</t>
  </si>
  <si>
    <t>Craig Singleton</t>
  </si>
  <si>
    <t>ORD0056</t>
  </si>
  <si>
    <t>CUST1980</t>
  </si>
  <si>
    <t>Cassandra Ho</t>
  </si>
  <si>
    <t>ORD0057</t>
  </si>
  <si>
    <t>CUST6853</t>
  </si>
  <si>
    <t>Jacqueline Brock</t>
  </si>
  <si>
    <t>ORD0058</t>
  </si>
  <si>
    <t>CUST5384</t>
  </si>
  <si>
    <t>Anna Williams</t>
  </si>
  <si>
    <t>ORD0059</t>
  </si>
  <si>
    <t>CUST5167</t>
  </si>
  <si>
    <t>Adriana Ramirez</t>
  </si>
  <si>
    <t>ORD0060</t>
  </si>
  <si>
    <t>CUST3957</t>
  </si>
  <si>
    <t>Amy Thompson</t>
  </si>
  <si>
    <t>ORD0061</t>
  </si>
  <si>
    <t>CUST5202</t>
  </si>
  <si>
    <t>Brian Webster</t>
  </si>
  <si>
    <t>ORD0062</t>
  </si>
  <si>
    <t>CUST7974</t>
  </si>
  <si>
    <t>Ian Vasquez</t>
  </si>
  <si>
    <t>ORD0063</t>
  </si>
  <si>
    <t>CUST7535</t>
  </si>
  <si>
    <t>Nicholas Simmons</t>
  </si>
  <si>
    <t>ORD0064</t>
  </si>
  <si>
    <t>CUST1401</t>
  </si>
  <si>
    <t>Colton Smith</t>
  </si>
  <si>
    <t>ORD0065</t>
  </si>
  <si>
    <t>CUST9647</t>
  </si>
  <si>
    <t>Jacqueline Schultz</t>
  </si>
  <si>
    <t>ORD0066</t>
  </si>
  <si>
    <t>Mark Combs</t>
  </si>
  <si>
    <t>ORD0067</t>
  </si>
  <si>
    <t>CUST9062</t>
  </si>
  <si>
    <t>Casey Mason</t>
  </si>
  <si>
    <t>ORD0068</t>
  </si>
  <si>
    <t>CUST1814</t>
  </si>
  <si>
    <t>Patrick Green</t>
  </si>
  <si>
    <t>ORD0069</t>
  </si>
  <si>
    <t>CUST5541</t>
  </si>
  <si>
    <t>Melissa Hughes</t>
  </si>
  <si>
    <t>ORD0070</t>
  </si>
  <si>
    <t>CUST3794</t>
  </si>
  <si>
    <t>Sean Sampson</t>
  </si>
  <si>
    <t>ORD0071</t>
  </si>
  <si>
    <t>CUST5794</t>
  </si>
  <si>
    <t>Caroline Bauer</t>
  </si>
  <si>
    <t>ORD0072</t>
  </si>
  <si>
    <t>CUST8211</t>
  </si>
  <si>
    <t>Laurie Garcia</t>
  </si>
  <si>
    <t>ORD0073</t>
  </si>
  <si>
    <t>CUST2990</t>
  </si>
  <si>
    <t>John Green</t>
  </si>
  <si>
    <t>ORD0074</t>
  </si>
  <si>
    <t>CUST2401</t>
  </si>
  <si>
    <t>Olivia Smith</t>
  </si>
  <si>
    <t>ORD0075</t>
  </si>
  <si>
    <t>CUST8321</t>
  </si>
  <si>
    <t>Richard Lewis</t>
  </si>
  <si>
    <t>ORD0076</t>
  </si>
  <si>
    <t>CUST7262</t>
  </si>
  <si>
    <t>Brian Haley</t>
  </si>
  <si>
    <t>ORD0077</t>
  </si>
  <si>
    <t>CUST7245</t>
  </si>
  <si>
    <t>Donald Robbins</t>
  </si>
  <si>
    <t>ORD0078</t>
  </si>
  <si>
    <t>CUST7421</t>
  </si>
  <si>
    <t>Elizabeth Evans</t>
  </si>
  <si>
    <t>ORD0079</t>
  </si>
  <si>
    <t>CUST1940</t>
  </si>
  <si>
    <t>Melissa Wilson</t>
  </si>
  <si>
    <t>ORD0080</t>
  </si>
  <si>
    <t>CUST7002</t>
  </si>
  <si>
    <t>Christine Sims</t>
  </si>
  <si>
    <t>ORD0081</t>
  </si>
  <si>
    <t>CUST4817</t>
  </si>
  <si>
    <t>Manuel Meza</t>
  </si>
  <si>
    <t>ORD0082</t>
  </si>
  <si>
    <t>CUST9165</t>
  </si>
  <si>
    <t>Justin Summers</t>
  </si>
  <si>
    <t>ORD0083</t>
  </si>
  <si>
    <t>CUST9475</t>
  </si>
  <si>
    <t>Alexander Gill</t>
  </si>
  <si>
    <t>ORD0084</t>
  </si>
  <si>
    <t>CUST3279</t>
  </si>
  <si>
    <t>Dr. Patrick Allen</t>
  </si>
  <si>
    <t>ORD0085</t>
  </si>
  <si>
    <t>CUST3049</t>
  </si>
  <si>
    <t>Larry Gordon</t>
  </si>
  <si>
    <t>ORD0086</t>
  </si>
  <si>
    <t>CUST9644</t>
  </si>
  <si>
    <t>Monica Gonzales</t>
  </si>
  <si>
    <t>Samsung Galaxy Tab</t>
  </si>
  <si>
    <t>ORD0087</t>
  </si>
  <si>
    <t>CUST2305</t>
  </si>
  <si>
    <t>Kevin Lloyd</t>
  </si>
  <si>
    <t>ORD0088</t>
  </si>
  <si>
    <t>CUST1520</t>
  </si>
  <si>
    <t>Madison Boone</t>
  </si>
  <si>
    <t>ORD0089</t>
  </si>
  <si>
    <t>CUST7300</t>
  </si>
  <si>
    <t>Felicia Bryant</t>
  </si>
  <si>
    <t>ORD0090</t>
  </si>
  <si>
    <t>CUST8078</t>
  </si>
  <si>
    <t>David Moran</t>
  </si>
  <si>
    <t>ORD0091</t>
  </si>
  <si>
    <t>CUST9515</t>
  </si>
  <si>
    <t>Benjamin Jordan</t>
  </si>
  <si>
    <t>ORD0092</t>
  </si>
  <si>
    <t>CUST5784</t>
  </si>
  <si>
    <t>Courtney Walsh</t>
  </si>
  <si>
    <t>ORD0093</t>
  </si>
  <si>
    <t>CUST6083</t>
  </si>
  <si>
    <t>Gary Miller</t>
  </si>
  <si>
    <t>ORD0094</t>
  </si>
  <si>
    <t>CUST2057</t>
  </si>
  <si>
    <t>David Williams</t>
  </si>
  <si>
    <t>ORD0095</t>
  </si>
  <si>
    <t>CUST1931</t>
  </si>
  <si>
    <t>Mr. Jason Murray III</t>
  </si>
  <si>
    <t>ORD0096</t>
  </si>
  <si>
    <t>CUST6865</t>
  </si>
  <si>
    <t>Clayton Dominguez</t>
  </si>
  <si>
    <t>ORD0097</t>
  </si>
  <si>
    <t>CUST1402</t>
  </si>
  <si>
    <t>Julie Reynolds</t>
  </si>
  <si>
    <t>ORD0098</t>
  </si>
  <si>
    <t>CUST9843</t>
  </si>
  <si>
    <t>Lisa Ho</t>
  </si>
  <si>
    <t>ORD0099</t>
  </si>
  <si>
    <t>CUST8079</t>
  </si>
  <si>
    <t>Daniel Hamilton</t>
  </si>
  <si>
    <t>ORD0100</t>
  </si>
  <si>
    <t>CUST5011</t>
  </si>
  <si>
    <t>Ryan Molina</t>
  </si>
  <si>
    <t>ORD0101</t>
  </si>
  <si>
    <t>CUST8302</t>
  </si>
  <si>
    <t>Brian Campbell</t>
  </si>
  <si>
    <t>ORD0102</t>
  </si>
  <si>
    <t>CUST7674</t>
  </si>
  <si>
    <t>Ronald Patterson</t>
  </si>
  <si>
    <t>ORD0103</t>
  </si>
  <si>
    <t>CUST3998</t>
  </si>
  <si>
    <t>Gerald Velez</t>
  </si>
  <si>
    <t>ORD0104</t>
  </si>
  <si>
    <t>CUST3288</t>
  </si>
  <si>
    <t>Michelle Alvarez</t>
  </si>
  <si>
    <t>ORD0105</t>
  </si>
  <si>
    <t>CUST5563</t>
  </si>
  <si>
    <t>Marie Gonzalez</t>
  </si>
  <si>
    <t>ORD0106</t>
  </si>
  <si>
    <t>CUST2934</t>
  </si>
  <si>
    <t>Ryan Oneill</t>
  </si>
  <si>
    <t>ORD0107</t>
  </si>
  <si>
    <t>CUST6036</t>
  </si>
  <si>
    <t>Tim Dennis</t>
  </si>
  <si>
    <t>ORD0108</t>
  </si>
  <si>
    <t>CUST6622</t>
  </si>
  <si>
    <t>Amy Nelson</t>
  </si>
  <si>
    <t>ORD0109</t>
  </si>
  <si>
    <t>CUST8438</t>
  </si>
  <si>
    <t>Laura Brown</t>
  </si>
  <si>
    <t>ORD0110</t>
  </si>
  <si>
    <t>CUST6082</t>
  </si>
  <si>
    <t>Seth Jones</t>
  </si>
  <si>
    <t>ORD0111</t>
  </si>
  <si>
    <t>CUST3875</t>
  </si>
  <si>
    <t>Sarah White</t>
  </si>
  <si>
    <t>ORD0112</t>
  </si>
  <si>
    <t>CUST1362</t>
  </si>
  <si>
    <t>Daryl Buchanan</t>
  </si>
  <si>
    <t>ORD0113</t>
  </si>
  <si>
    <t>CUST3271</t>
  </si>
  <si>
    <t>Elizabeth Barber</t>
  </si>
  <si>
    <t>ORD0114</t>
  </si>
  <si>
    <t>CUST8953</t>
  </si>
  <si>
    <t>Robyn Melendez</t>
  </si>
  <si>
    <t>ORD0115</t>
  </si>
  <si>
    <t>CUST1320</t>
  </si>
  <si>
    <t>Amanda David</t>
  </si>
  <si>
    <t>ORD0116</t>
  </si>
  <si>
    <t>CUST1170</t>
  </si>
  <si>
    <t>Edward Owens</t>
  </si>
  <si>
    <t>ORD0117</t>
  </si>
  <si>
    <t>CUST3033</t>
  </si>
  <si>
    <t>Stephanie Oneal</t>
  </si>
  <si>
    <t>ORD0118</t>
  </si>
  <si>
    <t>CUST3528</t>
  </si>
  <si>
    <t>Joshua Edwards</t>
  </si>
  <si>
    <t>ORD0119</t>
  </si>
  <si>
    <t>CUST1817</t>
  </si>
  <si>
    <t>Andrew Willis</t>
  </si>
  <si>
    <t>ORD0120</t>
  </si>
  <si>
    <t>CUST5445</t>
  </si>
  <si>
    <t>Angela Allen</t>
  </si>
  <si>
    <t>ORD0121</t>
  </si>
  <si>
    <t>CUST5838</t>
  </si>
  <si>
    <t>Troy Thompson</t>
  </si>
  <si>
    <t>ORD0122</t>
  </si>
  <si>
    <t>CUST9444</t>
  </si>
  <si>
    <t>Anthony Hernandez</t>
  </si>
  <si>
    <t>ORD0123</t>
  </si>
  <si>
    <t>CUST8572</t>
  </si>
  <si>
    <t>Jennifer Fischer</t>
  </si>
  <si>
    <t>ORD0124</t>
  </si>
  <si>
    <t>CUST1996</t>
  </si>
  <si>
    <t>Joseph Hardin</t>
  </si>
  <si>
    <t>ORD0125</t>
  </si>
  <si>
    <t>CUST1135</t>
  </si>
  <si>
    <t>Gwendolyn Taylor</t>
  </si>
  <si>
    <t>ORD0126</t>
  </si>
  <si>
    <t>CUST4419</t>
  </si>
  <si>
    <t>Hunter Aguirre</t>
  </si>
  <si>
    <t>ORD0127</t>
  </si>
  <si>
    <t>CUST7773</t>
  </si>
  <si>
    <t>Diana Herrera</t>
  </si>
  <si>
    <t>ORD0128</t>
  </si>
  <si>
    <t>CUST7851</t>
  </si>
  <si>
    <t>Tina Ochoa</t>
  </si>
  <si>
    <t>ORD0129</t>
  </si>
  <si>
    <t>CUST6572</t>
  </si>
  <si>
    <t>Erica Hancock</t>
  </si>
  <si>
    <t>ORD0130</t>
  </si>
  <si>
    <t>CUST1354</t>
  </si>
  <si>
    <t>Christy Patel</t>
  </si>
  <si>
    <t>ORD0131</t>
  </si>
  <si>
    <t>CUST2454</t>
  </si>
  <si>
    <t>Lisa Chavez</t>
  </si>
  <si>
    <t>ORD0132</t>
  </si>
  <si>
    <t>CUST9739</t>
  </si>
  <si>
    <t>Natalie Miller PhD</t>
  </si>
  <si>
    <t>ORD0133</t>
  </si>
  <si>
    <t>CUST9325</t>
  </si>
  <si>
    <t>Jessica Grant</t>
  </si>
  <si>
    <t>ORD0134</t>
  </si>
  <si>
    <t>CUST3818</t>
  </si>
  <si>
    <t>Chad Gomez</t>
  </si>
  <si>
    <t>ORD0135</t>
  </si>
  <si>
    <t>CUST1151</t>
  </si>
  <si>
    <t>Kimberly Braun</t>
  </si>
  <si>
    <t>ORD0136</t>
  </si>
  <si>
    <t>CUST9861</t>
  </si>
  <si>
    <t>Zoe Haynes</t>
  </si>
  <si>
    <t>ORD0137</t>
  </si>
  <si>
    <t>CUST8636</t>
  </si>
  <si>
    <t>John Blair</t>
  </si>
  <si>
    <t>ORD0138</t>
  </si>
  <si>
    <t>CUST3551</t>
  </si>
  <si>
    <t>Audrey Moody</t>
  </si>
  <si>
    <t>ORD0139</t>
  </si>
  <si>
    <t>CUST1924</t>
  </si>
  <si>
    <t>Brian Hart II</t>
  </si>
  <si>
    <t>ORD0140</t>
  </si>
  <si>
    <t>CUST1307</t>
  </si>
  <si>
    <t>Nancy Martinez</t>
  </si>
  <si>
    <t>ORD0141</t>
  </si>
  <si>
    <t>CUST4546</t>
  </si>
  <si>
    <t>Krista Simmons</t>
  </si>
  <si>
    <t>ORD0142</t>
  </si>
  <si>
    <t>CUST5251</t>
  </si>
  <si>
    <t>Peter Hunter</t>
  </si>
  <si>
    <t>ORD0143</t>
  </si>
  <si>
    <t>CUST9625</t>
  </si>
  <si>
    <t>Julie Nelson</t>
  </si>
  <si>
    <t>ORD0144</t>
  </si>
  <si>
    <t>CUST8387</t>
  </si>
  <si>
    <t>Anthony Cooper</t>
  </si>
  <si>
    <t>ORD0145</t>
  </si>
  <si>
    <t>CUST6736</t>
  </si>
  <si>
    <t>Anthony Warner</t>
  </si>
  <si>
    <t>ORD0146</t>
  </si>
  <si>
    <t>CUST5413</t>
  </si>
  <si>
    <t>Nicholas Reese</t>
  </si>
  <si>
    <t>ORD0147</t>
  </si>
  <si>
    <t>CUST6343</t>
  </si>
  <si>
    <t>Eric Martin</t>
  </si>
  <si>
    <t>ORD0148</t>
  </si>
  <si>
    <t>CUST7484</t>
  </si>
  <si>
    <t>Madison Anderson</t>
  </si>
  <si>
    <t>ORD0149</t>
  </si>
  <si>
    <t>CUST3785</t>
  </si>
  <si>
    <t>Dr. Claudia Johnson DDS</t>
  </si>
  <si>
    <t>ORD0150</t>
  </si>
  <si>
    <t>CUST2265</t>
  </si>
  <si>
    <t>Daniel Costa</t>
  </si>
  <si>
    <t>ORD0151</t>
  </si>
  <si>
    <t>CUST4158</t>
  </si>
  <si>
    <t>Leslie Garcia</t>
  </si>
  <si>
    <t>ORD0152</t>
  </si>
  <si>
    <t>CUST7578</t>
  </si>
  <si>
    <t>Scott Hardin</t>
  </si>
  <si>
    <t>ORD0153</t>
  </si>
  <si>
    <t>CUST8135</t>
  </si>
  <si>
    <t>Joseph Contreras</t>
  </si>
  <si>
    <t>ORD0154</t>
  </si>
  <si>
    <t>CUST8406</t>
  </si>
  <si>
    <t>Tanya Whitney</t>
  </si>
  <si>
    <t>ORD0155</t>
  </si>
  <si>
    <t>CUST4592</t>
  </si>
  <si>
    <t>Andrew Sullivan</t>
  </si>
  <si>
    <t>ORD0156</t>
  </si>
  <si>
    <t>CUST2672</t>
  </si>
  <si>
    <t>Jacob Barnes</t>
  </si>
  <si>
    <t>ORD0157</t>
  </si>
  <si>
    <t>CUST1578</t>
  </si>
  <si>
    <t>Dana Gonzalez</t>
  </si>
  <si>
    <t>ORD0158</t>
  </si>
  <si>
    <t>CUST1282</t>
  </si>
  <si>
    <t>Karla Conrad</t>
  </si>
  <si>
    <t>ORD0159</t>
  </si>
  <si>
    <t>CUST9071</t>
  </si>
  <si>
    <t>Christopher Willis</t>
  </si>
  <si>
    <t>ORD0160</t>
  </si>
  <si>
    <t>CUST4048</t>
  </si>
  <si>
    <t>Michael Soto</t>
  </si>
  <si>
    <t>ORD0161</t>
  </si>
  <si>
    <t>CUST4768</t>
  </si>
  <si>
    <t>Julie Bailey</t>
  </si>
  <si>
    <t>ORD0162</t>
  </si>
  <si>
    <t>CUST6027</t>
  </si>
  <si>
    <t>Devin Evans</t>
  </si>
  <si>
    <t>ORD0163</t>
  </si>
  <si>
    <t>CUST2635</t>
  </si>
  <si>
    <t>Tammy Figueroa</t>
  </si>
  <si>
    <t>ORD0164</t>
  </si>
  <si>
    <t>CUST4433</t>
  </si>
  <si>
    <t>Latasha Doyle</t>
  </si>
  <si>
    <t>ORD0165</t>
  </si>
  <si>
    <t>CUST5837</t>
  </si>
  <si>
    <t>Martha Williams</t>
  </si>
  <si>
    <t>ORD0166</t>
  </si>
  <si>
    <t>CUST3115</t>
  </si>
  <si>
    <t>Evan Hudson</t>
  </si>
  <si>
    <t>ORD0167</t>
  </si>
  <si>
    <t>CUST2061</t>
  </si>
  <si>
    <t>Eric Wilson</t>
  </si>
  <si>
    <t>ORD0168</t>
  </si>
  <si>
    <t>CUST7448</t>
  </si>
  <si>
    <t>David Daniel</t>
  </si>
  <si>
    <t>ORD0169</t>
  </si>
  <si>
    <t>CUST8894</t>
  </si>
  <si>
    <t>John Barry</t>
  </si>
  <si>
    <t>ORD0170</t>
  </si>
  <si>
    <t>CUST6226</t>
  </si>
  <si>
    <t>Andrew Robinson</t>
  </si>
  <si>
    <t>ORD0171</t>
  </si>
  <si>
    <t>CUST7836</t>
  </si>
  <si>
    <t>Vanessa Mccormick</t>
  </si>
  <si>
    <t>ORD0172</t>
  </si>
  <si>
    <t>CUST5933</t>
  </si>
  <si>
    <t>Jamie Ortiz</t>
  </si>
  <si>
    <t>ORD0173</t>
  </si>
  <si>
    <t>CUST3198</t>
  </si>
  <si>
    <t>Michael Phillips</t>
  </si>
  <si>
    <t>ORD0174</t>
  </si>
  <si>
    <t>CUST6191</t>
  </si>
  <si>
    <t>Danielle Jackson</t>
  </si>
  <si>
    <t>ORD0175</t>
  </si>
  <si>
    <t>CUST1933</t>
  </si>
  <si>
    <t>Rachel Jones</t>
  </si>
  <si>
    <t>ORD0176</t>
  </si>
  <si>
    <t>CUST7735</t>
  </si>
  <si>
    <t>Wesley George</t>
  </si>
  <si>
    <t>ORD0177</t>
  </si>
  <si>
    <t>CUST1632</t>
  </si>
  <si>
    <t>Mathew Smith</t>
  </si>
  <si>
    <t>ORD0178</t>
  </si>
  <si>
    <t>CUST8016</t>
  </si>
  <si>
    <t>Jason Garza IV</t>
  </si>
  <si>
    <t>ORD0179</t>
  </si>
  <si>
    <t>CUST4909</t>
  </si>
  <si>
    <t>Brandy Morrow</t>
  </si>
  <si>
    <t>ORD0180</t>
  </si>
  <si>
    <t>CUST7274</t>
  </si>
  <si>
    <t>Jessica Scott</t>
  </si>
  <si>
    <t>ORD0181</t>
  </si>
  <si>
    <t>CUST3035</t>
  </si>
  <si>
    <t>Kelsey Robbins</t>
  </si>
  <si>
    <t>ORD0182</t>
  </si>
  <si>
    <t>CUST4580</t>
  </si>
  <si>
    <t>Anthony Mathews</t>
  </si>
  <si>
    <t>ORD0183</t>
  </si>
  <si>
    <t>CUST4246</t>
  </si>
  <si>
    <t>Michelle Cervantes</t>
  </si>
  <si>
    <t>ORD0184</t>
  </si>
  <si>
    <t>CUST1391</t>
  </si>
  <si>
    <t>Chad Carpenter</t>
  </si>
  <si>
    <t>ORD0185</t>
  </si>
  <si>
    <t>CUST1193</t>
  </si>
  <si>
    <t>Gregory Brown</t>
  </si>
  <si>
    <t>ORD0186</t>
  </si>
  <si>
    <t>CUST7521</t>
  </si>
  <si>
    <t>Angela Reilly</t>
  </si>
  <si>
    <t>ORD0187</t>
  </si>
  <si>
    <t>CUST2306</t>
  </si>
  <si>
    <t>Barbara Christensen</t>
  </si>
  <si>
    <t>ORD0188</t>
  </si>
  <si>
    <t>CUST7765</t>
  </si>
  <si>
    <t>Mrs. Gina Lopez</t>
  </si>
  <si>
    <t>ORD0189</t>
  </si>
  <si>
    <t>CUST1487</t>
  </si>
  <si>
    <t>Yvonne Davis</t>
  </si>
  <si>
    <t>ORD0190</t>
  </si>
  <si>
    <t>CUST9813</t>
  </si>
  <si>
    <t>Vincent Lee</t>
  </si>
  <si>
    <t>ORD0191</t>
  </si>
  <si>
    <t>CUST3740</t>
  </si>
  <si>
    <t>Laura Kemp</t>
  </si>
  <si>
    <t>ORD0192</t>
  </si>
  <si>
    <t>CUST1236</t>
  </si>
  <si>
    <t>Clinton Beard</t>
  </si>
  <si>
    <t>ORD0193</t>
  </si>
  <si>
    <t>CUST7292</t>
  </si>
  <si>
    <t>Michael Berg</t>
  </si>
  <si>
    <t>ORD0194</t>
  </si>
  <si>
    <t>CUST9638</t>
  </si>
  <si>
    <t>Patrick Grant</t>
  </si>
  <si>
    <t>ORD0195</t>
  </si>
  <si>
    <t>CUST1404</t>
  </si>
  <si>
    <t>Anita Edwards</t>
  </si>
  <si>
    <t>ORD0196</t>
  </si>
  <si>
    <t>CUST5453</t>
  </si>
  <si>
    <t>Jack Warren</t>
  </si>
  <si>
    <t>ORD0197</t>
  </si>
  <si>
    <t>CUST1115</t>
  </si>
  <si>
    <t>Walter Gonzalez</t>
  </si>
  <si>
    <t>ORD0198</t>
  </si>
  <si>
    <t>CUST3852</t>
  </si>
  <si>
    <t>Marcus Mccarty</t>
  </si>
  <si>
    <t>ORD0199</t>
  </si>
  <si>
    <t>CUST7877</t>
  </si>
  <si>
    <t>James Rodriguez</t>
  </si>
  <si>
    <t>ORD0200</t>
  </si>
  <si>
    <t>CUST2520</t>
  </si>
  <si>
    <t>Kendra Wilson</t>
  </si>
  <si>
    <t>Row Labels</t>
  </si>
  <si>
    <t>Grand Total</t>
  </si>
  <si>
    <t>Total amount</t>
  </si>
  <si>
    <t>Sum of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</si>
</sst>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14" fontId="1" fillId="0" borderId="0" xfId="0" applyNumberFormat="1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[Ann_project_finale.xlsx]PIVOT TABLE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 PER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9203849518801"/>
          <c:y val="0.25721784776902901"/>
          <c:w val="0.54831627296587904"/>
          <c:h val="0.658530912802566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'!$A$4:$A$8</c:f>
              <c:strCache>
                <c:ptCount val="4"/>
                <c:pt idx="0">
                  <c:v>Eldoret</c:v>
                </c:pt>
                <c:pt idx="1">
                  <c:v>Kisumu</c:v>
                </c:pt>
                <c:pt idx="2">
                  <c:v>Mombasa</c:v>
                </c:pt>
                <c:pt idx="3">
                  <c:v>Nairobi</c:v>
                </c:pt>
              </c:strCache>
            </c:strRef>
          </c:cat>
          <c:val>
            <c:numRef>
              <c:f>'PIVOT TABLE '!$B$4:$B$8</c:f>
              <c:numCache>
                <c:formatCode>General</c:formatCode>
                <c:ptCount val="4"/>
                <c:pt idx="0">
                  <c:v>7154073</c:v>
                </c:pt>
                <c:pt idx="1">
                  <c:v>6003235</c:v>
                </c:pt>
                <c:pt idx="2">
                  <c:v>9180123</c:v>
                </c:pt>
                <c:pt idx="3">
                  <c:v>6132607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44-42D9-868B-A92D0C7C3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253888"/>
        <c:axId val="230257728"/>
      </c:barChart>
      <c:catAx>
        <c:axId val="23025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57728"/>
        <c:crosses val="autoZero"/>
        <c:auto val="1"/>
        <c:lblAlgn val="ctr"/>
        <c:lblOffset val="100"/>
        <c:noMultiLvlLbl val="0"/>
      </c:catAx>
      <c:valAx>
        <c:axId val="23025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48ff32-ac75-4cfa-9a2e-b091432340a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[Ann_project_finale.xlsx]PV.2!PivotTable1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40083333333333337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424759405074366"/>
          <c:y val="0.14754410906969961"/>
          <c:w val="0.76323381452318462"/>
          <c:h val="0.62107720909886266"/>
        </c:manualLayout>
      </c:layout>
      <c:pieChart>
        <c:varyColors val="1"/>
        <c:ser>
          <c:idx val="0"/>
          <c:order val="0"/>
          <c:tx>
            <c:strRef>
              <c:f>PV.2!$B$3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EC-4C66-929D-C059F695C6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EC-4C66-929D-C059F695C6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EC-4C66-929D-C059F695C6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EC-4C66-929D-C059F695C69F}"/>
              </c:ext>
            </c:extLst>
          </c:dPt>
          <c:cat>
            <c:strRef>
              <c:f>PV.2!$A$4:$A$8</c:f>
              <c:strCache>
                <c:ptCount val="4"/>
                <c:pt idx="0">
                  <c:v>Accessories</c:v>
                </c:pt>
                <c:pt idx="1">
                  <c:v>Laptop</c:v>
                </c:pt>
                <c:pt idx="2">
                  <c:v>Phone</c:v>
                </c:pt>
                <c:pt idx="3">
                  <c:v>Tablet</c:v>
                </c:pt>
              </c:strCache>
            </c:strRef>
          </c:cat>
          <c:val>
            <c:numRef>
              <c:f>PV.2!$B$4:$B$8</c:f>
              <c:numCache>
                <c:formatCode>General</c:formatCode>
                <c:ptCount val="4"/>
                <c:pt idx="0">
                  <c:v>365234</c:v>
                </c:pt>
                <c:pt idx="1">
                  <c:v>13823127</c:v>
                </c:pt>
                <c:pt idx="2">
                  <c:v>8341222</c:v>
                </c:pt>
                <c:pt idx="3">
                  <c:v>5940455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EC-4C66-929D-C059F695C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[Ann_project_finale.xlsx]PV. 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SPENDERS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'PV.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'PV. 3'!$A$4:$A$9</c:f>
              <c:strCache>
                <c:ptCount val="5"/>
                <c:pt idx="0">
                  <c:v>Jonathan Aguirre</c:v>
                </c:pt>
                <c:pt idx="1">
                  <c:v>Julie Carroll</c:v>
                </c:pt>
                <c:pt idx="2">
                  <c:v>Julie Reynolds</c:v>
                </c:pt>
                <c:pt idx="3">
                  <c:v>Manuel Meza</c:v>
                </c:pt>
                <c:pt idx="4">
                  <c:v>Scott Hardin</c:v>
                </c:pt>
              </c:strCache>
            </c:strRef>
          </c:cat>
          <c:val>
            <c:numRef>
              <c:f>'PV. 3'!$B$4:$B$9</c:f>
              <c:numCache>
                <c:formatCode>General</c:formatCode>
                <c:ptCount val="5"/>
                <c:pt idx="0">
                  <c:v>588344</c:v>
                </c:pt>
                <c:pt idx="1">
                  <c:v>611300</c:v>
                </c:pt>
                <c:pt idx="2">
                  <c:v>590310</c:v>
                </c:pt>
                <c:pt idx="3">
                  <c:v>636005</c:v>
                </c:pt>
                <c:pt idx="4">
                  <c:v>574692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0-43C2-A979-663527A7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71706719"/>
        <c:axId val="1171700959"/>
      </c:barChart>
      <c:catAx>
        <c:axId val="117170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00959"/>
        <c:crosses val="autoZero"/>
        <c:auto val="1"/>
        <c:lblAlgn val="ctr"/>
        <c:lblOffset val="100"/>
        <c:noMultiLvlLbl val="0"/>
      </c:catAx>
      <c:valAx>
        <c:axId val="117170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0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161925</xdr:rowOff>
    </xdr:from>
    <xdr:to>
      <xdr:col>8</xdr:col>
      <xdr:colOff>161925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4762</xdr:rowOff>
    </xdr:from>
    <xdr:to>
      <xdr:col>3</xdr:col>
      <xdr:colOff>647700</xdr:colOff>
      <xdr:row>28</xdr:row>
      <xdr:rowOff>76200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53BCF21-B964-E3A5-E931-FC922506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714375</xdr:colOff>
      <xdr:row>15</xdr:row>
      <xdr:rowOff>9525</xdr:rowOff>
    </xdr:from>
    <xdr:to>
      <xdr:col>10</xdr:col>
      <xdr:colOff>280987</xdr:colOff>
      <xdr:row>28</xdr:row>
      <xdr:rowOff>109537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B700143-AA05-A329-5C4E-6DCB185B1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3.598541550899" createdVersion="8" refreshedVersion="8" minRefreshableVersion="3" recordCount="201" xr:uid="{00000000-000A-0000-FFFF-FFFF00000000}">
  <cacheSource type="worksheet">
    <worksheetSource ref="A1:K1048576" sheet="RETAIL_DATA"/>
  </cacheSource>
  <cacheFields count="11">
    <cacheField name="OrderID" numFmtId="0">
      <sharedItems containsBlank="1" count="201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m/>
      </sharedItems>
    </cacheField>
    <cacheField name="OrderDate" numFmtId="0">
      <sharedItems containsNonDate="0" containsString="0" containsBlank="1" containsNumber="1" containsInteger="1" minValue="45556" maxValue="45916"/>
    </cacheField>
    <cacheField name="CustomerID" numFmtId="0">
      <sharedItems containsNonDate="0" containsBlank="1"/>
    </cacheField>
    <cacheField name="CustomerName" numFmtId="0">
      <sharedItems containsNonDate="0" containsBlank="1"/>
    </cacheField>
    <cacheField name="Region" numFmtId="0">
      <sharedItems containsBlank="1" count="5">
        <s v="Kisumu"/>
        <s v="Nairobi"/>
        <s v="Eldoret"/>
        <s v="Mombasa"/>
        <m/>
      </sharedItems>
    </cacheField>
    <cacheField name="ProductCategory" numFmtId="0">
      <sharedItems containsNonDate="0" containsBlank="1"/>
    </cacheField>
    <cacheField name="ProductName" numFmtId="0">
      <sharedItems containsNonDate="0" containsBlank="1"/>
    </cacheField>
    <cacheField name="Quantity" numFmtId="0">
      <sharedItems containsNonDate="0" containsString="0" containsBlank="1" containsNumber="1" containsInteger="1" minValue="1" maxValue="5"/>
    </cacheField>
    <cacheField name="UnitPrice" numFmtId="0">
      <sharedItems containsNonDate="0" containsString="0" containsBlank="1" containsNumber="1" containsInteger="1" minValue="513" maxValue="147086"/>
    </cacheField>
    <cacheField name="Total amount" numFmtId="0">
      <sharedItems containsString="0" containsBlank="1" containsNumber="1" containsInteger="1" minValue="0" maxValue="636005" count="200">
        <n v="135097"/>
        <n v="251200"/>
        <n v="194628"/>
        <n v="240108"/>
        <n v="95282"/>
        <n v="302420"/>
        <n v="7908"/>
        <n v="3246"/>
        <n v="42616"/>
        <n v="167755"/>
        <n v="161481"/>
        <n v="5026"/>
        <n v="332104"/>
        <n v="51861"/>
        <n v="315775"/>
        <n v="213072"/>
        <n v="4392"/>
        <n v="25060"/>
        <n v="398058"/>
        <n v="51278"/>
        <n v="159558"/>
        <n v="7916"/>
        <n v="92788"/>
        <n v="293010"/>
        <n v="257766"/>
        <n v="70746"/>
        <n v="149692"/>
        <n v="23225"/>
        <n v="26925"/>
        <n v="161949"/>
        <n v="73840"/>
        <n v="4527"/>
        <n v="13915"/>
        <n v="201292"/>
        <n v="319132"/>
        <n v="2780"/>
        <n v="172146"/>
        <n v="588344"/>
        <n v="206826"/>
        <n v="213218"/>
        <n v="7504"/>
        <n v="3235"/>
        <n v="52495"/>
        <n v="13216"/>
        <n v="2388"/>
        <n v="611300"/>
        <n v="4878"/>
        <n v="93643"/>
        <n v="8292"/>
        <n v="4564"/>
        <n v="35936"/>
        <n v="93146"/>
        <n v="171568"/>
        <n v="66815"/>
        <n v="28530"/>
        <n v="1460"/>
        <n v="79582"/>
        <n v="59451"/>
        <n v="2214"/>
        <n v="8775"/>
        <n v="68587"/>
        <n v="17406"/>
        <n v="2324"/>
        <n v="245060"/>
        <n v="173248"/>
        <n v="245967"/>
        <n v="215040"/>
        <n v="126604"/>
        <n v="46235"/>
        <n v="210850"/>
        <n v="3897"/>
        <n v="17515"/>
        <n v="219828"/>
        <n v="421805"/>
        <n v="214020"/>
        <n v="1916"/>
        <n v="89208"/>
        <n v="8706"/>
        <n v="288235"/>
        <n v="169590"/>
        <n v="636005"/>
        <n v="549116"/>
        <n v="14208"/>
        <n v="86850"/>
        <n v="109961"/>
        <n v="309684"/>
        <n v="15856"/>
        <n v="6135"/>
        <n v="409888"/>
        <n v="227895"/>
        <n v="202575"/>
        <n v="889"/>
        <n v="4607"/>
        <n v="379671"/>
        <n v="93197"/>
        <n v="12770"/>
        <n v="590310"/>
        <n v="63276"/>
        <n v="17994"/>
        <n v="118125"/>
        <n v="9328"/>
        <n v="47990"/>
        <n v="6758"/>
        <n v="5305"/>
        <n v="293988"/>
        <n v="129537"/>
        <n v="13548"/>
        <n v="36660"/>
        <n v="10044"/>
        <n v="117514"/>
        <n v="128988"/>
        <n v="130410"/>
        <n v="48066"/>
        <n v="4360"/>
        <n v="23234"/>
        <n v="278905"/>
        <n v="309654"/>
        <n v="12076"/>
        <n v="51200"/>
        <n v="55229"/>
        <n v="214430"/>
        <n v="1539"/>
        <n v="417555"/>
        <n v="181970"/>
        <n v="52583"/>
        <n v="252508"/>
        <n v="19495"/>
        <n v="96996"/>
        <n v="71332"/>
        <n v="153015"/>
        <n v="157086"/>
        <n v="274135"/>
        <n v="5376"/>
        <n v="370506"/>
        <n v="41330"/>
        <n v="174544"/>
        <n v="3837"/>
        <n v="16680"/>
        <n v="362225"/>
        <n v="129570"/>
        <n v="133269"/>
        <n v="330615"/>
        <n v="3417"/>
        <n v="1167"/>
        <n v="53796"/>
        <n v="93545"/>
        <n v="291912"/>
        <n v="239962"/>
        <n v="2992"/>
        <n v="245204"/>
        <n v="574692"/>
        <n v="47226"/>
        <n v="173016"/>
        <n v="3621"/>
        <n v="138304"/>
        <n v="54942"/>
        <n v="4364"/>
        <n v="6309"/>
        <n v="57021"/>
        <n v="2726"/>
        <n v="79166"/>
        <n v="395610"/>
        <n v="286568"/>
        <n v="129046"/>
        <n v="458015"/>
        <n v="416268"/>
        <n v="431425"/>
        <n v="1719"/>
        <n v="272020"/>
        <n v="322975"/>
        <n v="72902"/>
        <n v="152700"/>
        <n v="3891"/>
        <n v="51892"/>
        <n v="2800"/>
        <n v="479590"/>
        <n v="799"/>
        <n v="216231"/>
        <n v="4552"/>
        <n v="2570"/>
        <n v="6021"/>
        <n v="193090"/>
        <n v="147380"/>
        <n v="5066"/>
        <n v="93895"/>
        <n v="79160"/>
        <n v="340860"/>
        <n v="340410"/>
        <n v="116236"/>
        <n v="119485"/>
        <n v="57812"/>
        <n v="356228"/>
        <n v="264360"/>
        <n v="219810"/>
        <n v="238505"/>
        <n v="191320"/>
        <n v="424140"/>
        <n v="3270"/>
        <n v="289868"/>
        <m/>
      </sharedItems>
    </cacheField>
    <cacheField name="PaymentMethod" numFmtId="0">
      <sharedItems containsNonDate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25.357033680557" createdVersion="8" refreshedVersion="8" minRefreshableVersion="3" recordCount="200" xr:uid="{3C847DB1-8922-41F6-81E5-6249EBD1B572}">
  <cacheSource type="worksheet">
    <worksheetSource ref="A1:K201" sheet="RETAIL_DATA"/>
  </cacheSource>
  <cacheFields count="11">
    <cacheField name="OrderID" numFmtId="0">
      <sharedItems/>
    </cacheField>
    <cacheField name="OrderDate" numFmtId="0">
      <sharedItems containsSemiMixedTypes="0" containsString="0" containsNumber="1" containsInteger="1" minValue="45556" maxValue="45916"/>
    </cacheField>
    <cacheField name="CustomerID" numFmtId="0">
      <sharedItems/>
    </cacheField>
    <cacheField name="CustomerName" numFmtId="0">
      <sharedItems count="200">
        <s v="Christopher Holt"/>
        <s v="Amanda James"/>
        <s v="Maria Williams"/>
        <s v="Mark Clark"/>
        <s v="Gavin Acosta"/>
        <s v="Elizabeth Davis"/>
        <s v="Charles Morgan"/>
        <s v="Jacob Miller II"/>
        <s v="Phyllis Gonzalez"/>
        <s v="Robert Miles"/>
        <s v="Virginia Martin"/>
        <s v="Micheal Fletcher"/>
        <s v="Brittany Bartlett"/>
        <s v="Patrick Matthews"/>
        <s v="Robin Clay"/>
        <s v="Andrew Johnson"/>
        <s v="Donna Anderson"/>
        <s v="Kimberly Price"/>
        <s v="Sue Bates"/>
        <s v="Christian Smith"/>
        <s v="Tony Foster"/>
        <s v="April Henry"/>
        <s v="James Smith"/>
        <s v="Rebecca Nolan"/>
        <s v="Shannon Reyes"/>
        <s v="Julia Taylor"/>
        <s v="Crystal Campbell"/>
        <s v="Rebecca Evans"/>
        <s v="Becky Beltran"/>
        <s v="Erin Williams"/>
        <s v="Jesse Holmes"/>
        <s v="Jeffrey Hughes"/>
        <s v="Cynthia Ponce MD"/>
        <s v="Lisa Anderson"/>
        <s v="Jesse Harris"/>
        <s v="Daniel Vega"/>
        <s v="Eric Hudson"/>
        <s v="Jonathan Aguirre"/>
        <s v="Stephanie Salazar"/>
        <s v="Brianna Gutierrez"/>
        <s v="Lisa Thomas"/>
        <s v="Brandy Hernandez"/>
        <s v="Brandon Anderson"/>
        <s v="Crystal Bryant"/>
        <s v="Kayla Hurley"/>
        <s v="Julie Carroll"/>
        <s v="Scott Jones"/>
        <s v="Michael Ware"/>
        <s v="Marvin Horn"/>
        <s v="Erik Winters"/>
        <s v="Kristina Martinez"/>
        <s v="Derek Adkins"/>
        <s v="Joshua Campbell"/>
        <s v="Debbie Walters"/>
        <s v="Craig Singleton"/>
        <s v="Cassandra Ho"/>
        <s v="Jacqueline Brock"/>
        <s v="Anna Williams"/>
        <s v="Adriana Ramirez"/>
        <s v="Amy Thompson"/>
        <s v="Brian Webster"/>
        <s v="Ian Vasquez"/>
        <s v="Nicholas Simmons"/>
        <s v="Colton Smith"/>
        <s v="Jacqueline Schultz"/>
        <s v="Mark Combs"/>
        <s v="Casey Mason"/>
        <s v="Patrick Green"/>
        <s v="Melissa Hughes"/>
        <s v="Sean Sampson"/>
        <s v="Caroline Bauer"/>
        <s v="Laurie Garcia"/>
        <s v="John Green"/>
        <s v="Olivia Smith"/>
        <s v="Richard Lewis"/>
        <s v="Brian Haley"/>
        <s v="Donald Robbins"/>
        <s v="Elizabeth Evans"/>
        <s v="Melissa Wilson"/>
        <s v="Christine Sims"/>
        <s v="Manuel Meza"/>
        <s v="Justin Summers"/>
        <s v="Alexander Gill"/>
        <s v="Dr. Patrick Allen"/>
        <s v="Larry Gordon"/>
        <s v="Monica Gonzales"/>
        <s v="Kevin Lloyd"/>
        <s v="Madison Boone"/>
        <s v="Felicia Bryant"/>
        <s v="David Moran"/>
        <s v="Benjamin Jordan"/>
        <s v="Courtney Walsh"/>
        <s v="Gary Miller"/>
        <s v="David Williams"/>
        <s v="Mr. Jason Murray III"/>
        <s v="Clayton Dominguez"/>
        <s v="Julie Reynolds"/>
        <s v="Lisa Ho"/>
        <s v="Daniel Hamilton"/>
        <s v="Ryan Molina"/>
        <s v="Brian Campbell"/>
        <s v="Ronald Patterson"/>
        <s v="Gerald Velez"/>
        <s v="Michelle Alvarez"/>
        <s v="Marie Gonzalez"/>
        <s v="Ryan Oneill"/>
        <s v="Tim Dennis"/>
        <s v="Amy Nelson"/>
        <s v="Laura Brown"/>
        <s v="Seth Jones"/>
        <s v="Sarah White"/>
        <s v="Daryl Buchanan"/>
        <s v="Elizabeth Barber"/>
        <s v="Robyn Melendez"/>
        <s v="Amanda David"/>
        <s v="Edward Owens"/>
        <s v="Stephanie Oneal"/>
        <s v="Joshua Edwards"/>
        <s v="Andrew Willis"/>
        <s v="Angela Allen"/>
        <s v="Troy Thompson"/>
        <s v="Anthony Hernandez"/>
        <s v="Jennifer Fischer"/>
        <s v="Joseph Hardin"/>
        <s v="Gwendolyn Taylor"/>
        <s v="Hunter Aguirre"/>
        <s v="Diana Herrera"/>
        <s v="Tina Ochoa"/>
        <s v="Erica Hancock"/>
        <s v="Christy Patel"/>
        <s v="Lisa Chavez"/>
        <s v="Natalie Miller PhD"/>
        <s v="Jessica Grant"/>
        <s v="Chad Gomez"/>
        <s v="Kimberly Braun"/>
        <s v="Zoe Haynes"/>
        <s v="John Blair"/>
        <s v="Audrey Moody"/>
        <s v="Brian Hart II"/>
        <s v="Nancy Martinez"/>
        <s v="Krista Simmons"/>
        <s v="Peter Hunter"/>
        <s v="Julie Nelson"/>
        <s v="Anthony Cooper"/>
        <s v="Anthony Warner"/>
        <s v="Nicholas Reese"/>
        <s v="Eric Martin"/>
        <s v="Madison Anderson"/>
        <s v="Dr. Claudia Johnson DDS"/>
        <s v="Daniel Costa"/>
        <s v="Leslie Garcia"/>
        <s v="Scott Hardin"/>
        <s v="Joseph Contreras"/>
        <s v="Tanya Whitney"/>
        <s v="Andrew Sullivan"/>
        <s v="Jacob Barnes"/>
        <s v="Dana Gonzalez"/>
        <s v="Karla Conrad"/>
        <s v="Christopher Willis"/>
        <s v="Michael Soto"/>
        <s v="Julie Bailey"/>
        <s v="Devin Evans"/>
        <s v="Tammy Figueroa"/>
        <s v="Latasha Doyle"/>
        <s v="Martha Williams"/>
        <s v="Evan Hudson"/>
        <s v="Eric Wilson"/>
        <s v="David Daniel"/>
        <s v="John Barry"/>
        <s v="Andrew Robinson"/>
        <s v="Vanessa Mccormick"/>
        <s v="Jamie Ortiz"/>
        <s v="Michael Phillips"/>
        <s v="Danielle Jackson"/>
        <s v="Rachel Jones"/>
        <s v="Wesley George"/>
        <s v="Mathew Smith"/>
        <s v="Jason Garza IV"/>
        <s v="Brandy Morrow"/>
        <s v="Jessica Scott"/>
        <s v="Kelsey Robbins"/>
        <s v="Anthony Mathews"/>
        <s v="Michelle Cervantes"/>
        <s v="Chad Carpenter"/>
        <s v="Gregory Brown"/>
        <s v="Angela Reilly"/>
        <s v="Barbara Christensen"/>
        <s v="Mrs. Gina Lopez"/>
        <s v="Yvonne Davis"/>
        <s v="Vincent Lee"/>
        <s v="Laura Kemp"/>
        <s v="Clinton Beard"/>
        <s v="Michael Berg"/>
        <s v="Patrick Grant"/>
        <s v="Anita Edwards"/>
        <s v="Jack Warren"/>
        <s v="Walter Gonzalez"/>
        <s v="Marcus Mccarty"/>
        <s v="James Rodriguez"/>
        <s v="Kendra Wilson"/>
      </sharedItems>
    </cacheField>
    <cacheField name="Region" numFmtId="0">
      <sharedItems/>
    </cacheField>
    <cacheField name="ProductCategory" numFmtId="0">
      <sharedItems count="4">
        <s v="Laptop"/>
        <s v="Tablet"/>
        <s v="Phone"/>
        <s v="Accessories"/>
      </sharedItems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containsInteger="1" minValue="513" maxValue="147086"/>
    </cacheField>
    <cacheField name="Total amount" numFmtId="0">
      <sharedItems containsSemiMixedTypes="0" containsString="0" containsNumber="1" containsInteger="1" minValue="799" maxValue="636005"/>
    </cacheField>
    <cacheField name="PaymentMetho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n v="45683"/>
    <s v="CUST8108"/>
    <s v="Christopher Holt"/>
    <x v="0"/>
    <s v="Laptop"/>
    <s v="MacBook Air"/>
    <n v="1"/>
    <n v="135097"/>
    <x v="0"/>
    <s v="Online Transfer"/>
  </r>
  <r>
    <x v="1"/>
    <n v="45681"/>
    <s v="CUST4908"/>
    <s v="Amanda James"/>
    <x v="1"/>
    <s v="Laptop"/>
    <s v="HP Pavilion"/>
    <n v="4"/>
    <n v="62800"/>
    <x v="1"/>
    <s v="M-Pesa"/>
  </r>
  <r>
    <x v="2"/>
    <n v="45684"/>
    <s v="CUST2206"/>
    <s v="Maria Williams"/>
    <x v="1"/>
    <s v="Tablet"/>
    <s v="Lenovo Tab"/>
    <n v="3"/>
    <n v="64876"/>
    <x v="2"/>
    <s v="M-Pesa"/>
  </r>
  <r>
    <x v="3"/>
    <n v="45711"/>
    <s v="CUST9048"/>
    <s v="Mark Clark"/>
    <x v="2"/>
    <s v="Laptop"/>
    <s v="Lenovo ThinkPad"/>
    <n v="4"/>
    <n v="60027"/>
    <x v="3"/>
    <s v="Card"/>
  </r>
  <r>
    <x v="4"/>
    <n v="45604"/>
    <s v="CUST9382"/>
    <s v="Gavin Acosta"/>
    <x v="0"/>
    <s v="Phone"/>
    <s v="iPhone 13"/>
    <n v="1"/>
    <n v="95282"/>
    <x v="4"/>
    <s v="M-Pesa"/>
  </r>
  <r>
    <x v="5"/>
    <n v="45639"/>
    <s v="CUST5475"/>
    <s v="Elizabeth Davis"/>
    <x v="2"/>
    <s v="Phone"/>
    <s v="iPhone 13"/>
    <n v="4"/>
    <n v="75605"/>
    <x v="5"/>
    <s v="M-Pesa"/>
  </r>
  <r>
    <x v="6"/>
    <n v="45707"/>
    <s v="CUST4404"/>
    <s v="Charles Morgan"/>
    <x v="0"/>
    <s v="Accessories"/>
    <s v="Headphones"/>
    <n v="2"/>
    <n v="3954"/>
    <x v="6"/>
    <s v="Cash"/>
  </r>
  <r>
    <x v="7"/>
    <n v="45717"/>
    <s v="CUST7815"/>
    <s v="Jacob Miller II"/>
    <x v="1"/>
    <s v="Accessories"/>
    <s v="Charger"/>
    <n v="1"/>
    <n v="3246"/>
    <x v="7"/>
    <s v="Cash"/>
  </r>
  <r>
    <x v="8"/>
    <n v="45756"/>
    <s v="CUST6758"/>
    <s v="Phyllis Gonzalez"/>
    <x v="0"/>
    <s v="Laptop"/>
    <s v="HP Pavilion"/>
    <n v="1"/>
    <n v="42616"/>
    <x v="8"/>
    <s v="Cash"/>
  </r>
  <r>
    <x v="9"/>
    <n v="45645"/>
    <s v="CUST2484"/>
    <s v="Robert Miles"/>
    <x v="0"/>
    <s v="Laptop"/>
    <s v="HP Pavilion"/>
    <n v="5"/>
    <n v="33551"/>
    <x v="9"/>
    <s v="M-Pesa"/>
  </r>
  <r>
    <x v="10"/>
    <n v="45582"/>
    <s v="CUST7413"/>
    <s v="Virginia Martin"/>
    <x v="3"/>
    <s v="Phone"/>
    <s v="Samsung Galaxy S21"/>
    <n v="3"/>
    <n v="53827"/>
    <x v="10"/>
    <s v="Card"/>
  </r>
  <r>
    <x v="11"/>
    <n v="45824"/>
    <s v="CUST9346"/>
    <s v="Micheal Fletcher"/>
    <x v="3"/>
    <s v="Accessories"/>
    <s v="Charger"/>
    <n v="2"/>
    <n v="2513"/>
    <x v="11"/>
    <s v="Online Transfer"/>
  </r>
  <r>
    <x v="12"/>
    <n v="45743"/>
    <s v="CUST5851"/>
    <s v="Brittany Bartlett"/>
    <x v="3"/>
    <s v="Laptop"/>
    <s v="HP Pavilion"/>
    <n v="4"/>
    <n v="83026"/>
    <x v="12"/>
    <s v="Card"/>
  </r>
  <r>
    <x v="13"/>
    <n v="45588"/>
    <s v="CUST8368"/>
    <s v="Patrick Matthews"/>
    <x v="2"/>
    <s v="Tablet"/>
    <s v="Lenovo Tab"/>
    <n v="3"/>
    <n v="17287"/>
    <x v="13"/>
    <s v="Card"/>
  </r>
  <r>
    <x v="14"/>
    <n v="45898"/>
    <s v="CUST6503"/>
    <s v="Robin Clay"/>
    <x v="1"/>
    <s v="Laptop"/>
    <s v="Lenovo ThinkPad"/>
    <n v="5"/>
    <n v="63155"/>
    <x v="14"/>
    <s v="Card"/>
  </r>
  <r>
    <x v="15"/>
    <n v="45750"/>
    <s v="CUST9997"/>
    <s v="Andrew Johnson"/>
    <x v="2"/>
    <s v="Phone"/>
    <s v="Huawei P30"/>
    <n v="3"/>
    <n v="71024"/>
    <x v="15"/>
    <s v="Online Transfer"/>
  </r>
  <r>
    <x v="16"/>
    <n v="45904"/>
    <s v="CUST7074"/>
    <s v="Donna Anderson"/>
    <x v="0"/>
    <s v="Accessories"/>
    <s v="Charger"/>
    <n v="3"/>
    <n v="1464"/>
    <x v="16"/>
    <s v="Cash"/>
  </r>
  <r>
    <x v="17"/>
    <n v="45813"/>
    <s v="CUST3283"/>
    <s v="Kimberly Price"/>
    <x v="3"/>
    <s v="Tablet"/>
    <s v="iPad Pro"/>
    <n v="4"/>
    <n v="6265"/>
    <x v="17"/>
    <s v="Cash"/>
  </r>
  <r>
    <x v="18"/>
    <n v="45670"/>
    <s v="CUST4980"/>
    <s v="Sue Bates"/>
    <x v="2"/>
    <s v="Laptop"/>
    <s v="MacBook Air"/>
    <n v="3"/>
    <n v="132686"/>
    <x v="18"/>
    <s v="Online Transfer"/>
  </r>
  <r>
    <x v="19"/>
    <n v="45826"/>
    <s v="CUST2599"/>
    <s v="Christian Smith"/>
    <x v="0"/>
    <s v="Tablet"/>
    <s v="Lenovo Tab"/>
    <n v="2"/>
    <n v="25639"/>
    <x v="19"/>
    <s v="Cash"/>
  </r>
  <r>
    <x v="20"/>
    <n v="45584"/>
    <s v="CUST5981"/>
    <s v="Tony Foster"/>
    <x v="1"/>
    <s v="Phone"/>
    <s v="Tecno Spark"/>
    <n v="2"/>
    <n v="79779"/>
    <x v="20"/>
    <s v="Online Transfer"/>
  </r>
  <r>
    <x v="21"/>
    <n v="45639"/>
    <s v="CUST9731"/>
    <s v="April Henry"/>
    <x v="2"/>
    <s v="Accessories"/>
    <s v="Charger"/>
    <n v="2"/>
    <n v="3958"/>
    <x v="21"/>
    <s v="M-Pesa"/>
  </r>
  <r>
    <x v="22"/>
    <n v="45857"/>
    <s v="CUST8306"/>
    <s v="James Smith"/>
    <x v="2"/>
    <s v="Laptop"/>
    <s v="HP Pavilion"/>
    <n v="4"/>
    <n v="23197"/>
    <x v="22"/>
    <s v="M-Pesa"/>
  </r>
  <r>
    <x v="23"/>
    <n v="45797"/>
    <s v="CUST5049"/>
    <s v="Rebecca Nolan"/>
    <x v="2"/>
    <s v="Laptop"/>
    <s v="HP Pavilion"/>
    <n v="5"/>
    <n v="58602"/>
    <x v="23"/>
    <s v="Card"/>
  </r>
  <r>
    <x v="24"/>
    <n v="45704"/>
    <s v="CUST3252"/>
    <s v="Shannon Reyes"/>
    <x v="2"/>
    <s v="Laptop"/>
    <s v="Dell Inspiron"/>
    <n v="3"/>
    <n v="85922"/>
    <x v="24"/>
    <s v="M-Pesa"/>
  </r>
  <r>
    <x v="25"/>
    <n v="45720"/>
    <s v="CUST9172"/>
    <s v="Julia Taylor"/>
    <x v="3"/>
    <s v="Laptop"/>
    <s v="MacBook Air"/>
    <n v="3"/>
    <n v="23582"/>
    <x v="25"/>
    <s v="Card"/>
  </r>
  <r>
    <x v="26"/>
    <n v="45556"/>
    <s v="CUST8270"/>
    <s v="Crystal Campbell"/>
    <x v="2"/>
    <s v="Phone"/>
    <s v="Huawei P30"/>
    <n v="4"/>
    <n v="37423"/>
    <x v="26"/>
    <s v="Card"/>
  </r>
  <r>
    <x v="27"/>
    <n v="45607"/>
    <s v="CUST9231"/>
    <s v="Rebecca Evans"/>
    <x v="0"/>
    <s v="Accessories"/>
    <s v="Headphones"/>
    <n v="5"/>
    <n v="4645"/>
    <x v="27"/>
    <s v="Cash"/>
  </r>
  <r>
    <x v="28"/>
    <n v="45883"/>
    <s v="CUST4583"/>
    <s v="Becky Beltran"/>
    <x v="0"/>
    <s v="Tablet"/>
    <s v="iPad Pro"/>
    <n v="1"/>
    <n v="26925"/>
    <x v="28"/>
    <s v="Cash"/>
  </r>
  <r>
    <x v="29"/>
    <n v="45884"/>
    <s v="CUST8453"/>
    <s v="Erin Williams"/>
    <x v="2"/>
    <s v="Tablet"/>
    <s v="Amazon Fire"/>
    <n v="3"/>
    <n v="53983"/>
    <x v="29"/>
    <s v="Online Transfer"/>
  </r>
  <r>
    <x v="30"/>
    <n v="45687"/>
    <s v="CUST1748"/>
    <s v="Jesse Holmes"/>
    <x v="3"/>
    <s v="Laptop"/>
    <s v="Lenovo ThinkPad"/>
    <n v="2"/>
    <n v="36920"/>
    <x v="30"/>
    <s v="Card"/>
  </r>
  <r>
    <x v="31"/>
    <n v="45729"/>
    <s v="CUST9090"/>
    <s v="Jeffrey Hughes"/>
    <x v="1"/>
    <s v="Accessories"/>
    <s v="Wireless Mouse"/>
    <n v="3"/>
    <n v="1509"/>
    <x v="31"/>
    <s v="Online Transfer"/>
  </r>
  <r>
    <x v="32"/>
    <n v="45816"/>
    <s v="CUST8331"/>
    <s v="Cynthia Ponce MD"/>
    <x v="0"/>
    <s v="Accessories"/>
    <s v="Headphones"/>
    <n v="5"/>
    <n v="2783"/>
    <x v="32"/>
    <s v="Online Transfer"/>
  </r>
  <r>
    <x v="33"/>
    <n v="45735"/>
    <s v="CUST5154"/>
    <s v="Lisa Anderson"/>
    <x v="2"/>
    <s v="Tablet"/>
    <s v="iPad Pro"/>
    <n v="4"/>
    <n v="50323"/>
    <x v="33"/>
    <s v="Card"/>
  </r>
  <r>
    <x v="34"/>
    <n v="45866"/>
    <s v="CUST5108"/>
    <s v="Jesse Harris"/>
    <x v="2"/>
    <s v="Phone"/>
    <s v="Huawei P30"/>
    <n v="4"/>
    <n v="79783"/>
    <x v="34"/>
    <s v="Online Transfer"/>
  </r>
  <r>
    <x v="35"/>
    <n v="45757"/>
    <s v="CUST8443"/>
    <s v="Daniel Vega"/>
    <x v="3"/>
    <s v="Accessories"/>
    <s v="Keyboard"/>
    <n v="2"/>
    <n v="1390"/>
    <x v="35"/>
    <s v="Cash"/>
  </r>
  <r>
    <x v="36"/>
    <n v="45767"/>
    <s v="CUST5311"/>
    <s v="Eric Hudson"/>
    <x v="3"/>
    <s v="Tablet"/>
    <s v="Amazon Fire"/>
    <n v="3"/>
    <n v="57382"/>
    <x v="36"/>
    <s v="Card"/>
  </r>
  <r>
    <x v="37"/>
    <n v="45638"/>
    <s v="CUST5199"/>
    <s v="Jonathan Aguirre"/>
    <x v="1"/>
    <s v="Laptop"/>
    <s v="MacBook Air"/>
    <n v="4"/>
    <n v="147086"/>
    <x v="37"/>
    <s v="Card"/>
  </r>
  <r>
    <x v="38"/>
    <n v="45599"/>
    <s v="CUST5831"/>
    <s v="Stephanie Salazar"/>
    <x v="0"/>
    <s v="Laptop"/>
    <s v="Lenovo ThinkPad"/>
    <n v="3"/>
    <n v="68942"/>
    <x v="38"/>
    <s v="Cash"/>
  </r>
  <r>
    <x v="39"/>
    <n v="45684"/>
    <s v="CUST9276"/>
    <s v="Brianna Gutierrez"/>
    <x v="2"/>
    <s v="Laptop"/>
    <s v="Lenovo ThinkPad"/>
    <n v="2"/>
    <n v="106609"/>
    <x v="39"/>
    <s v="Cash"/>
  </r>
  <r>
    <x v="40"/>
    <n v="45869"/>
    <s v="CUST6412"/>
    <s v="Lisa Thomas"/>
    <x v="0"/>
    <s v="Accessories"/>
    <s v="Keyboard"/>
    <n v="4"/>
    <n v="1876"/>
    <x v="40"/>
    <s v="Card"/>
  </r>
  <r>
    <x v="41"/>
    <n v="45825"/>
    <s v="CUST5715"/>
    <s v="Brandy Hernandez"/>
    <x v="1"/>
    <s v="Accessories"/>
    <s v="Headphones"/>
    <n v="1"/>
    <n v="3235"/>
    <x v="41"/>
    <s v="M-Pesa"/>
  </r>
  <r>
    <x v="42"/>
    <n v="45716"/>
    <s v="CUST1164"/>
    <s v="Brandon Anderson"/>
    <x v="0"/>
    <s v="Laptop"/>
    <s v="Dell Inspiron"/>
    <n v="5"/>
    <n v="10499"/>
    <x v="42"/>
    <s v="Cash"/>
  </r>
  <r>
    <x v="43"/>
    <n v="45654"/>
    <s v="CUST5369"/>
    <s v="Crystal Bryant"/>
    <x v="0"/>
    <s v="Accessories"/>
    <s v="Headphones"/>
    <n v="4"/>
    <n v="3304"/>
    <x v="43"/>
    <s v="Cash"/>
  </r>
  <r>
    <x v="44"/>
    <n v="45688"/>
    <s v="CUST4663"/>
    <s v="Kayla Hurley"/>
    <x v="2"/>
    <s v="Accessories"/>
    <s v="Headphones"/>
    <n v="4"/>
    <n v="597"/>
    <x v="44"/>
    <s v="M-Pesa"/>
  </r>
  <r>
    <x v="45"/>
    <n v="45840"/>
    <s v="CUST8485"/>
    <s v="Julie Carroll"/>
    <x v="3"/>
    <s v="Laptop"/>
    <s v="HP Pavilion"/>
    <n v="5"/>
    <n v="122260"/>
    <x v="45"/>
    <s v="Card"/>
  </r>
  <r>
    <x v="46"/>
    <n v="45626"/>
    <s v="CUST9378"/>
    <s v="Scott Jones"/>
    <x v="1"/>
    <s v="Accessories"/>
    <s v="Keyboard"/>
    <n v="3"/>
    <n v="1626"/>
    <x v="46"/>
    <s v="Card"/>
  </r>
  <r>
    <x v="47"/>
    <n v="45586"/>
    <s v="CUST6449"/>
    <s v="Michael Ware"/>
    <x v="0"/>
    <s v="Phone"/>
    <s v="iPhone 13"/>
    <n v="1"/>
    <n v="93643"/>
    <x v="47"/>
    <s v="Online Transfer"/>
  </r>
  <r>
    <x v="48"/>
    <n v="45570"/>
    <s v="CUST9360"/>
    <s v="Marvin Horn"/>
    <x v="0"/>
    <s v="Accessories"/>
    <s v="Keyboard"/>
    <n v="3"/>
    <n v="2764"/>
    <x v="48"/>
    <s v="M-Pesa"/>
  </r>
  <r>
    <x v="49"/>
    <n v="45602"/>
    <s v="CUST9004"/>
    <s v="Erik Winters"/>
    <x v="2"/>
    <s v="Accessories"/>
    <s v="Charger"/>
    <n v="2"/>
    <n v="2282"/>
    <x v="49"/>
    <s v="Card"/>
  </r>
  <r>
    <x v="50"/>
    <n v="45721"/>
    <s v="CUST4251"/>
    <s v="Kristina Martinez"/>
    <x v="0"/>
    <s v="Laptop"/>
    <s v="Dell Inspiron"/>
    <n v="1"/>
    <n v="35936"/>
    <x v="50"/>
    <s v="Online Transfer"/>
  </r>
  <r>
    <x v="51"/>
    <n v="45863"/>
    <s v="CUST4666"/>
    <s v="Derek Adkins"/>
    <x v="3"/>
    <s v="Phone"/>
    <s v="Huawei P30"/>
    <n v="2"/>
    <n v="46573"/>
    <x v="51"/>
    <s v="M-Pesa"/>
  </r>
  <r>
    <x v="52"/>
    <n v="45709"/>
    <s v="CUST3052"/>
    <s v="Joshua Campbell"/>
    <x v="1"/>
    <s v="Phone"/>
    <s v="Samsung Galaxy S21"/>
    <n v="4"/>
    <n v="42892"/>
    <x v="52"/>
    <s v="M-Pesa"/>
  </r>
  <r>
    <x v="53"/>
    <n v="45592"/>
    <s v="CUST9153"/>
    <s v="Debbie Walters"/>
    <x v="2"/>
    <s v="Laptop"/>
    <s v="Dell Inspiron"/>
    <n v="1"/>
    <n v="66815"/>
    <x v="53"/>
    <s v="Card"/>
  </r>
  <r>
    <x v="54"/>
    <n v="45652"/>
    <s v="CUST9105"/>
    <s v="Craig Singleton"/>
    <x v="1"/>
    <s v="Phone"/>
    <s v="Samsung Galaxy S21"/>
    <n v="3"/>
    <n v="9510"/>
    <x v="54"/>
    <s v="Cash"/>
  </r>
  <r>
    <x v="55"/>
    <n v="45582"/>
    <s v="CUST1980"/>
    <s v="Cassandra Ho"/>
    <x v="0"/>
    <s v="Accessories"/>
    <s v="Keyboard"/>
    <n v="1"/>
    <n v="1460"/>
    <x v="55"/>
    <s v="M-Pesa"/>
  </r>
  <r>
    <x v="56"/>
    <n v="45583"/>
    <s v="CUST6853"/>
    <s v="Jacqueline Brock"/>
    <x v="0"/>
    <s v="Tablet"/>
    <s v="Lenovo Tab"/>
    <n v="1"/>
    <n v="79582"/>
    <x v="56"/>
    <s v="M-Pesa"/>
  </r>
  <r>
    <x v="57"/>
    <n v="45556"/>
    <s v="CUST5384"/>
    <s v="Anna Williams"/>
    <x v="1"/>
    <s v="Phone"/>
    <s v="Samsung Galaxy S21"/>
    <n v="3"/>
    <n v="19817"/>
    <x v="57"/>
    <s v="Card"/>
  </r>
  <r>
    <x v="58"/>
    <n v="45669"/>
    <s v="CUST5167"/>
    <s v="Adriana Ramirez"/>
    <x v="0"/>
    <s v="Accessories"/>
    <s v="Headphones"/>
    <n v="3"/>
    <n v="738"/>
    <x v="58"/>
    <s v="Online Transfer"/>
  </r>
  <r>
    <x v="59"/>
    <n v="45893"/>
    <s v="CUST3957"/>
    <s v="Amy Thompson"/>
    <x v="0"/>
    <s v="Accessories"/>
    <s v="Headphones"/>
    <n v="3"/>
    <n v="2925"/>
    <x v="59"/>
    <s v="Cash"/>
  </r>
  <r>
    <x v="60"/>
    <n v="45752"/>
    <s v="CUST5202"/>
    <s v="Brian Webster"/>
    <x v="1"/>
    <s v="Tablet"/>
    <s v="Lenovo Tab"/>
    <n v="1"/>
    <n v="68587"/>
    <x v="60"/>
    <s v="M-Pesa"/>
  </r>
  <r>
    <x v="61"/>
    <n v="45583"/>
    <s v="CUST7974"/>
    <s v="Ian Vasquez"/>
    <x v="1"/>
    <s v="Tablet"/>
    <s v="Lenovo Tab"/>
    <n v="2"/>
    <n v="8703"/>
    <x v="61"/>
    <s v="M-Pesa"/>
  </r>
  <r>
    <x v="62"/>
    <n v="45624"/>
    <s v="CUST7535"/>
    <s v="Nicholas Simmons"/>
    <x v="0"/>
    <s v="Accessories"/>
    <s v="Wireless Mouse"/>
    <n v="4"/>
    <n v="581"/>
    <x v="62"/>
    <s v="Cash"/>
  </r>
  <r>
    <x v="63"/>
    <n v="45825"/>
    <s v="CUST1401"/>
    <s v="Colton Smith"/>
    <x v="2"/>
    <s v="Phone"/>
    <s v="iPhone 13"/>
    <n v="5"/>
    <n v="49012"/>
    <x v="63"/>
    <s v="Card"/>
  </r>
  <r>
    <x v="64"/>
    <n v="45583"/>
    <s v="CUST9647"/>
    <s v="Jacqueline Schultz"/>
    <x v="2"/>
    <s v="Phone"/>
    <s v="Huawei P30"/>
    <n v="4"/>
    <n v="43312"/>
    <x v="64"/>
    <s v="Card"/>
  </r>
  <r>
    <x v="65"/>
    <n v="45726"/>
    <s v="CUST6853"/>
    <s v="Mark Combs"/>
    <x v="2"/>
    <s v="Phone"/>
    <s v="iPhone 13"/>
    <n v="3"/>
    <n v="81989"/>
    <x v="65"/>
    <s v="M-Pesa"/>
  </r>
  <r>
    <x v="66"/>
    <n v="45722"/>
    <s v="CUST9062"/>
    <s v="Casey Mason"/>
    <x v="2"/>
    <s v="Phone"/>
    <s v="iPhone 13"/>
    <n v="4"/>
    <n v="53760"/>
    <x v="66"/>
    <s v="M-Pesa"/>
  </r>
  <r>
    <x v="67"/>
    <n v="45700"/>
    <s v="CUST1814"/>
    <s v="Patrick Green"/>
    <x v="2"/>
    <s v="Tablet"/>
    <s v="Lenovo Tab"/>
    <n v="2"/>
    <n v="63302"/>
    <x v="67"/>
    <s v="Cash"/>
  </r>
  <r>
    <x v="68"/>
    <n v="45602"/>
    <s v="CUST5541"/>
    <s v="Melissa Hughes"/>
    <x v="2"/>
    <s v="Phone"/>
    <s v="Samsung Galaxy S21"/>
    <n v="5"/>
    <n v="9247"/>
    <x v="68"/>
    <s v="Cash"/>
  </r>
  <r>
    <x v="69"/>
    <n v="45632"/>
    <s v="CUST3794"/>
    <s v="Sean Sampson"/>
    <x v="1"/>
    <s v="Tablet"/>
    <s v="Lenovo Tab"/>
    <n v="5"/>
    <n v="42170"/>
    <x v="69"/>
    <s v="Card"/>
  </r>
  <r>
    <x v="70"/>
    <n v="45775"/>
    <s v="CUST5794"/>
    <s v="Caroline Bauer"/>
    <x v="0"/>
    <s v="Accessories"/>
    <s v="Charger"/>
    <n v="3"/>
    <n v="1299"/>
    <x v="70"/>
    <s v="Cash"/>
  </r>
  <r>
    <x v="71"/>
    <n v="45900"/>
    <s v="CUST8211"/>
    <s v="Laurie Garcia"/>
    <x v="0"/>
    <s v="Accessories"/>
    <s v="Charger"/>
    <n v="5"/>
    <n v="3503"/>
    <x v="71"/>
    <s v="Card"/>
  </r>
  <r>
    <x v="72"/>
    <n v="45749"/>
    <s v="CUST2990"/>
    <s v="John Green"/>
    <x v="3"/>
    <s v="Phone"/>
    <s v="iPhone 13"/>
    <n v="4"/>
    <n v="54957"/>
    <x v="72"/>
    <s v="Card"/>
  </r>
  <r>
    <x v="73"/>
    <n v="45912"/>
    <s v="CUST2401"/>
    <s v="Olivia Smith"/>
    <x v="3"/>
    <s v="Phone"/>
    <s v="iPhone 13"/>
    <n v="5"/>
    <n v="84361"/>
    <x v="73"/>
    <s v="Card"/>
  </r>
  <r>
    <x v="74"/>
    <n v="45728"/>
    <s v="CUST8321"/>
    <s v="Richard Lewis"/>
    <x v="3"/>
    <s v="Laptop"/>
    <s v="MacBook Air"/>
    <n v="3"/>
    <n v="71340"/>
    <x v="74"/>
    <s v="M-Pesa"/>
  </r>
  <r>
    <x v="75"/>
    <n v="45670"/>
    <s v="CUST7262"/>
    <s v="Brian Haley"/>
    <x v="3"/>
    <s v="Accessories"/>
    <s v="Headphones"/>
    <n v="1"/>
    <n v="1916"/>
    <x v="75"/>
    <s v="M-Pesa"/>
  </r>
  <r>
    <x v="76"/>
    <n v="45784"/>
    <s v="CUST7245"/>
    <s v="Donald Robbins"/>
    <x v="3"/>
    <s v="Tablet"/>
    <s v="Amazon Fire"/>
    <n v="4"/>
    <n v="22302"/>
    <x v="76"/>
    <s v="Card"/>
  </r>
  <r>
    <x v="77"/>
    <n v="45649"/>
    <s v="CUST7421"/>
    <s v="Elizabeth Evans"/>
    <x v="0"/>
    <s v="Accessories"/>
    <s v="Charger"/>
    <n v="3"/>
    <n v="2902"/>
    <x v="77"/>
    <s v="Cash"/>
  </r>
  <r>
    <x v="78"/>
    <n v="45915"/>
    <s v="CUST1940"/>
    <s v="Melissa Wilson"/>
    <x v="0"/>
    <s v="Tablet"/>
    <s v="Amazon Fire"/>
    <n v="5"/>
    <n v="57647"/>
    <x v="78"/>
    <s v="M-Pesa"/>
  </r>
  <r>
    <x v="79"/>
    <n v="45711"/>
    <s v="CUST7002"/>
    <s v="Christine Sims"/>
    <x v="3"/>
    <s v="Laptop"/>
    <s v="HP Pavilion"/>
    <n v="3"/>
    <n v="56530"/>
    <x v="79"/>
    <s v="Cash"/>
  </r>
  <r>
    <x v="80"/>
    <n v="45769"/>
    <s v="CUST4817"/>
    <s v="Manuel Meza"/>
    <x v="3"/>
    <s v="Laptop"/>
    <s v="HP Pavilion"/>
    <n v="5"/>
    <n v="127201"/>
    <x v="80"/>
    <s v="Cash"/>
  </r>
  <r>
    <x v="81"/>
    <n v="45908"/>
    <s v="CUST9165"/>
    <s v="Justin Summers"/>
    <x v="1"/>
    <s v="Laptop"/>
    <s v="HP Pavilion"/>
    <n v="4"/>
    <n v="137279"/>
    <x v="81"/>
    <s v="Online Transfer"/>
  </r>
  <r>
    <x v="82"/>
    <n v="45852"/>
    <s v="CUST9475"/>
    <s v="Alexander Gill"/>
    <x v="3"/>
    <s v="Accessories"/>
    <s v="Keyboard"/>
    <n v="4"/>
    <n v="3552"/>
    <x v="82"/>
    <s v="M-Pesa"/>
  </r>
  <r>
    <x v="83"/>
    <n v="45631"/>
    <s v="CUST3279"/>
    <s v="Dr. Patrick Allen"/>
    <x v="1"/>
    <s v="Laptop"/>
    <s v="MacBook Air"/>
    <n v="5"/>
    <n v="17370"/>
    <x v="83"/>
    <s v="M-Pesa"/>
  </r>
  <r>
    <x v="84"/>
    <n v="45760"/>
    <s v="CUST3049"/>
    <s v="Larry Gordon"/>
    <x v="3"/>
    <s v="Laptop"/>
    <s v="Dell Inspiron"/>
    <n v="1"/>
    <n v="109961"/>
    <x v="84"/>
    <s v="M-Pesa"/>
  </r>
  <r>
    <x v="85"/>
    <n v="45579"/>
    <s v="CUST9644"/>
    <s v="Monica Gonzales"/>
    <x v="3"/>
    <s v="Tablet"/>
    <s v="Samsung Galaxy Tab"/>
    <n v="4"/>
    <n v="77421"/>
    <x v="85"/>
    <s v="Cash"/>
  </r>
  <r>
    <x v="86"/>
    <n v="45904"/>
    <s v="CUST2305"/>
    <s v="Kevin Lloyd"/>
    <x v="1"/>
    <s v="Accessories"/>
    <s v="Keyboard"/>
    <n v="4"/>
    <n v="3964"/>
    <x v="86"/>
    <s v="Online Transfer"/>
  </r>
  <r>
    <x v="87"/>
    <n v="45840"/>
    <s v="CUST1520"/>
    <s v="Madison Boone"/>
    <x v="2"/>
    <s v="Accessories"/>
    <s v="Charger"/>
    <n v="3"/>
    <n v="2045"/>
    <x v="87"/>
    <s v="Card"/>
  </r>
  <r>
    <x v="88"/>
    <n v="45756"/>
    <s v="CUST7300"/>
    <s v="Felicia Bryant"/>
    <x v="3"/>
    <s v="Laptop"/>
    <s v="Lenovo ThinkPad"/>
    <n v="4"/>
    <n v="102472"/>
    <x v="88"/>
    <s v="Online Transfer"/>
  </r>
  <r>
    <x v="89"/>
    <n v="45786"/>
    <s v="CUST8078"/>
    <s v="David Moran"/>
    <x v="2"/>
    <s v="Phone"/>
    <s v="iPhone 13"/>
    <n v="5"/>
    <n v="45579"/>
    <x v="89"/>
    <s v="Cash"/>
  </r>
  <r>
    <x v="90"/>
    <n v="45783"/>
    <s v="CUST9515"/>
    <s v="Benjamin Jordan"/>
    <x v="3"/>
    <s v="Laptop"/>
    <s v="MacBook Air"/>
    <n v="5"/>
    <n v="40515"/>
    <x v="90"/>
    <s v="Online Transfer"/>
  </r>
  <r>
    <x v="91"/>
    <n v="45760"/>
    <s v="CUST5784"/>
    <s v="Courtney Walsh"/>
    <x v="0"/>
    <s v="Accessories"/>
    <s v="Keyboard"/>
    <n v="1"/>
    <n v="889"/>
    <x v="91"/>
    <s v="M-Pesa"/>
  </r>
  <r>
    <x v="92"/>
    <n v="45601"/>
    <s v="CUST6083"/>
    <s v="Gary Miller"/>
    <x v="1"/>
    <s v="Accessories"/>
    <s v="Headphones"/>
    <n v="1"/>
    <n v="4607"/>
    <x v="92"/>
    <s v="Online Transfer"/>
  </r>
  <r>
    <x v="93"/>
    <n v="45793"/>
    <s v="CUST2057"/>
    <s v="David Williams"/>
    <x v="1"/>
    <s v="Laptop"/>
    <s v="HP Pavilion"/>
    <n v="3"/>
    <n v="126557"/>
    <x v="93"/>
    <s v="Card"/>
  </r>
  <r>
    <x v="94"/>
    <n v="45768"/>
    <s v="CUST1931"/>
    <s v="Mr. Jason Murray III"/>
    <x v="0"/>
    <s v="Laptop"/>
    <s v="MacBook Air"/>
    <n v="1"/>
    <n v="93197"/>
    <x v="94"/>
    <s v="Cash"/>
  </r>
  <r>
    <x v="95"/>
    <n v="45649"/>
    <s v="CUST6865"/>
    <s v="Clayton Dominguez"/>
    <x v="3"/>
    <s v="Laptop"/>
    <s v="Lenovo ThinkPad"/>
    <n v="1"/>
    <n v="12770"/>
    <x v="95"/>
    <s v="Cash"/>
  </r>
  <r>
    <x v="96"/>
    <n v="45841"/>
    <s v="CUST1402"/>
    <s v="Julie Reynolds"/>
    <x v="3"/>
    <s v="Laptop"/>
    <s v="MacBook Air"/>
    <n v="5"/>
    <n v="118062"/>
    <x v="96"/>
    <s v="Online Transfer"/>
  </r>
  <r>
    <x v="97"/>
    <n v="45798"/>
    <s v="CUST9843"/>
    <s v="Lisa Ho"/>
    <x v="1"/>
    <s v="Laptop"/>
    <s v="HP Pavilion"/>
    <n v="4"/>
    <n v="15819"/>
    <x v="97"/>
    <s v="Online Transfer"/>
  </r>
  <r>
    <x v="98"/>
    <n v="45679"/>
    <s v="CUST8079"/>
    <s v="Daniel Hamilton"/>
    <x v="1"/>
    <s v="Laptop"/>
    <s v="HP Pavilion"/>
    <n v="1"/>
    <n v="17994"/>
    <x v="98"/>
    <s v="Card"/>
  </r>
  <r>
    <x v="99"/>
    <n v="45726"/>
    <s v="CUST5011"/>
    <s v="Ryan Molina"/>
    <x v="3"/>
    <s v="Phone"/>
    <s v="Huawei P30"/>
    <n v="5"/>
    <n v="23625"/>
    <x v="99"/>
    <s v="M-Pesa"/>
  </r>
  <r>
    <x v="100"/>
    <n v="45647"/>
    <s v="CUST8302"/>
    <s v="Brian Campbell"/>
    <x v="0"/>
    <s v="Accessories"/>
    <s v="Wireless Mouse"/>
    <n v="2"/>
    <n v="4664"/>
    <x v="100"/>
    <s v="M-Pesa"/>
  </r>
  <r>
    <x v="101"/>
    <n v="45900"/>
    <s v="CUST7674"/>
    <s v="Ronald Patterson"/>
    <x v="0"/>
    <s v="Phone"/>
    <s v="iPhone 13"/>
    <n v="5"/>
    <n v="9598"/>
    <x v="101"/>
    <s v="Card"/>
  </r>
  <r>
    <x v="102"/>
    <n v="45665"/>
    <s v="CUST3998"/>
    <s v="Gerald Velez"/>
    <x v="1"/>
    <s v="Accessories"/>
    <s v="Wireless Mouse"/>
    <n v="2"/>
    <n v="3379"/>
    <x v="102"/>
    <s v="Card"/>
  </r>
  <r>
    <x v="103"/>
    <n v="45679"/>
    <s v="CUST3288"/>
    <s v="Michelle Alvarez"/>
    <x v="1"/>
    <s v="Accessories"/>
    <s v="Keyboard"/>
    <n v="5"/>
    <n v="1061"/>
    <x v="103"/>
    <s v="Cash"/>
  </r>
  <r>
    <x v="104"/>
    <n v="45788"/>
    <s v="CUST5563"/>
    <s v="Marie Gonzalez"/>
    <x v="0"/>
    <s v="Phone"/>
    <s v="iPhone 13"/>
    <n v="4"/>
    <n v="73497"/>
    <x v="104"/>
    <s v="Card"/>
  </r>
  <r>
    <x v="105"/>
    <n v="45894"/>
    <s v="CUST2934"/>
    <s v="Ryan Oneill"/>
    <x v="3"/>
    <s v="Phone"/>
    <s v="Samsung Galaxy S21"/>
    <n v="3"/>
    <n v="43179"/>
    <x v="105"/>
    <s v="Card"/>
  </r>
  <r>
    <x v="106"/>
    <n v="45613"/>
    <s v="CUST6036"/>
    <s v="Tim Dennis"/>
    <x v="0"/>
    <s v="Accessories"/>
    <s v="Wireless Mouse"/>
    <n v="4"/>
    <n v="3387"/>
    <x v="106"/>
    <s v="Card"/>
  </r>
  <r>
    <x v="107"/>
    <n v="45880"/>
    <s v="CUST6622"/>
    <s v="Amy Nelson"/>
    <x v="3"/>
    <s v="Phone"/>
    <s v="Samsung Galaxy S21"/>
    <n v="3"/>
    <n v="12220"/>
    <x v="107"/>
    <s v="M-Pesa"/>
  </r>
  <r>
    <x v="108"/>
    <n v="45757"/>
    <s v="CUST8438"/>
    <s v="Laura Brown"/>
    <x v="2"/>
    <s v="Accessories"/>
    <s v="Headphones"/>
    <n v="3"/>
    <n v="3348"/>
    <x v="108"/>
    <s v="M-Pesa"/>
  </r>
  <r>
    <x v="109"/>
    <n v="45804"/>
    <s v="CUST6082"/>
    <s v="Seth Jones"/>
    <x v="0"/>
    <s v="Laptop"/>
    <s v="Lenovo ThinkPad"/>
    <n v="2"/>
    <n v="58757"/>
    <x v="109"/>
    <s v="Online Transfer"/>
  </r>
  <r>
    <x v="110"/>
    <n v="45722"/>
    <s v="CUST3875"/>
    <s v="Sarah White"/>
    <x v="2"/>
    <s v="Phone"/>
    <s v="Tecno Spark"/>
    <n v="4"/>
    <n v="32247"/>
    <x v="110"/>
    <s v="Online Transfer"/>
  </r>
  <r>
    <x v="111"/>
    <n v="45901"/>
    <s v="CUST1362"/>
    <s v="Daryl Buchanan"/>
    <x v="2"/>
    <s v="Phone"/>
    <s v="Samsung Galaxy S21"/>
    <n v="2"/>
    <n v="65205"/>
    <x v="111"/>
    <s v="Cash"/>
  </r>
  <r>
    <x v="112"/>
    <n v="45782"/>
    <s v="CUST3271"/>
    <s v="Elizabeth Barber"/>
    <x v="1"/>
    <s v="Tablet"/>
    <s v="Lenovo Tab"/>
    <n v="2"/>
    <n v="24033"/>
    <x v="112"/>
    <s v="Cash"/>
  </r>
  <r>
    <x v="113"/>
    <n v="45881"/>
    <s v="CUST8953"/>
    <s v="Robyn Melendez"/>
    <x v="0"/>
    <s v="Accessories"/>
    <s v="Keyboard"/>
    <n v="2"/>
    <n v="2180"/>
    <x v="113"/>
    <s v="Cash"/>
  </r>
  <r>
    <x v="114"/>
    <n v="45585"/>
    <s v="CUST1320"/>
    <s v="Amanda David"/>
    <x v="1"/>
    <s v="Tablet"/>
    <s v="Lenovo Tab"/>
    <n v="2"/>
    <n v="11617"/>
    <x v="114"/>
    <s v="Cash"/>
  </r>
  <r>
    <x v="115"/>
    <n v="45892"/>
    <s v="CUST1170"/>
    <s v="Edward Owens"/>
    <x v="2"/>
    <s v="Tablet"/>
    <s v="Amazon Fire"/>
    <n v="5"/>
    <n v="55781"/>
    <x v="115"/>
    <s v="M-Pesa"/>
  </r>
  <r>
    <x v="116"/>
    <n v="45813"/>
    <s v="CUST3033"/>
    <s v="Stephanie Oneal"/>
    <x v="3"/>
    <s v="Laptop"/>
    <s v="HP Pavilion"/>
    <n v="3"/>
    <n v="103218"/>
    <x v="116"/>
    <s v="Online Transfer"/>
  </r>
  <r>
    <x v="117"/>
    <n v="45777"/>
    <s v="CUST3528"/>
    <s v="Joshua Edwards"/>
    <x v="0"/>
    <s v="Accessories"/>
    <s v="Charger"/>
    <n v="4"/>
    <n v="3019"/>
    <x v="117"/>
    <s v="Card"/>
  </r>
  <r>
    <x v="118"/>
    <n v="45743"/>
    <s v="CUST1817"/>
    <s v="Andrew Willis"/>
    <x v="3"/>
    <s v="Laptop"/>
    <s v="MacBook Air"/>
    <n v="5"/>
    <n v="10240"/>
    <x v="118"/>
    <s v="M-Pesa"/>
  </r>
  <r>
    <x v="119"/>
    <n v="45914"/>
    <s v="CUST5445"/>
    <s v="Angela Allen"/>
    <x v="0"/>
    <s v="Phone"/>
    <s v="iPhone 13"/>
    <n v="1"/>
    <n v="55229"/>
    <x v="119"/>
    <s v="M-Pesa"/>
  </r>
  <r>
    <x v="120"/>
    <n v="45813"/>
    <s v="CUST5838"/>
    <s v="Troy Thompson"/>
    <x v="1"/>
    <s v="Phone"/>
    <s v="iPhone 13"/>
    <n v="5"/>
    <n v="42886"/>
    <x v="120"/>
    <s v="Cash"/>
  </r>
  <r>
    <x v="121"/>
    <n v="45653"/>
    <s v="CUST9444"/>
    <s v="Anthony Hernandez"/>
    <x v="3"/>
    <s v="Accessories"/>
    <s v="Wireless Mouse"/>
    <n v="3"/>
    <n v="513"/>
    <x v="121"/>
    <s v="Card"/>
  </r>
  <r>
    <x v="122"/>
    <n v="45916"/>
    <s v="CUST8572"/>
    <s v="Jennifer Fischer"/>
    <x v="0"/>
    <s v="Phone"/>
    <s v="Tecno Spark"/>
    <n v="5"/>
    <n v="83511"/>
    <x v="122"/>
    <s v="Card"/>
  </r>
  <r>
    <x v="123"/>
    <n v="45684"/>
    <s v="CUST1996"/>
    <s v="Joseph Hardin"/>
    <x v="1"/>
    <s v="Phone"/>
    <s v="Samsung Galaxy S21"/>
    <n v="5"/>
    <n v="36394"/>
    <x v="123"/>
    <s v="Online Transfer"/>
  </r>
  <r>
    <x v="124"/>
    <n v="45586"/>
    <s v="CUST1135"/>
    <s v="Gwendolyn Taylor"/>
    <x v="1"/>
    <s v="Tablet"/>
    <s v="iPad Pro"/>
    <n v="1"/>
    <n v="52583"/>
    <x v="124"/>
    <s v="Cash"/>
  </r>
  <r>
    <x v="125"/>
    <n v="45758"/>
    <s v="CUST4419"/>
    <s v="Hunter Aguirre"/>
    <x v="2"/>
    <s v="Phone"/>
    <s v="Samsung Galaxy S21"/>
    <n v="4"/>
    <n v="63127"/>
    <x v="125"/>
    <s v="Cash"/>
  </r>
  <r>
    <x v="126"/>
    <n v="45768"/>
    <s v="CUST7773"/>
    <s v="Diana Herrera"/>
    <x v="3"/>
    <s v="Accessories"/>
    <s v="Headphones"/>
    <n v="5"/>
    <n v="3899"/>
    <x v="126"/>
    <s v="Card"/>
  </r>
  <r>
    <x v="127"/>
    <n v="45819"/>
    <s v="CUST7851"/>
    <s v="Tina Ochoa"/>
    <x v="1"/>
    <s v="Tablet"/>
    <s v="iPad Pro"/>
    <n v="2"/>
    <n v="48498"/>
    <x v="127"/>
    <s v="Cash"/>
  </r>
  <r>
    <x v="128"/>
    <n v="45786"/>
    <s v="CUST6572"/>
    <s v="Erica Hancock"/>
    <x v="3"/>
    <s v="Tablet"/>
    <s v="Lenovo Tab"/>
    <n v="1"/>
    <n v="71332"/>
    <x v="128"/>
    <s v="Card"/>
  </r>
  <r>
    <x v="129"/>
    <n v="45857"/>
    <s v="CUST1354"/>
    <s v="Christy Patel"/>
    <x v="1"/>
    <s v="Tablet"/>
    <s v="Lenovo Tab"/>
    <n v="3"/>
    <n v="51005"/>
    <x v="129"/>
    <s v="Card"/>
  </r>
  <r>
    <x v="130"/>
    <n v="45564"/>
    <s v="CUST2454"/>
    <s v="Lisa Chavez"/>
    <x v="2"/>
    <s v="Tablet"/>
    <s v="Amazon Fire"/>
    <n v="3"/>
    <n v="52362"/>
    <x v="130"/>
    <s v="Card"/>
  </r>
  <r>
    <x v="131"/>
    <n v="45772"/>
    <s v="CUST9739"/>
    <s v="Natalie Miller PhD"/>
    <x v="0"/>
    <s v="Tablet"/>
    <s v="Amazon Fire"/>
    <n v="5"/>
    <n v="54827"/>
    <x v="131"/>
    <s v="Cash"/>
  </r>
  <r>
    <x v="132"/>
    <n v="45617"/>
    <s v="CUST9325"/>
    <s v="Jessica Grant"/>
    <x v="0"/>
    <s v="Accessories"/>
    <s v="Charger"/>
    <n v="2"/>
    <n v="2688"/>
    <x v="132"/>
    <s v="Online Transfer"/>
  </r>
  <r>
    <x v="133"/>
    <n v="45611"/>
    <s v="CUST3818"/>
    <s v="Chad Gomez"/>
    <x v="2"/>
    <s v="Laptop"/>
    <s v="HP Pavilion"/>
    <n v="3"/>
    <n v="123502"/>
    <x v="133"/>
    <s v="M-Pesa"/>
  </r>
  <r>
    <x v="134"/>
    <n v="45654"/>
    <s v="CUST1151"/>
    <s v="Kimberly Braun"/>
    <x v="2"/>
    <s v="Phone"/>
    <s v="Samsung Galaxy S21"/>
    <n v="2"/>
    <n v="20665"/>
    <x v="134"/>
    <s v="Online Transfer"/>
  </r>
  <r>
    <x v="135"/>
    <n v="45560"/>
    <s v="CUST9861"/>
    <s v="Zoe Haynes"/>
    <x v="2"/>
    <s v="Laptop"/>
    <s v="HP Pavilion"/>
    <n v="4"/>
    <n v="43636"/>
    <x v="135"/>
    <s v="Online Transfer"/>
  </r>
  <r>
    <x v="136"/>
    <n v="45817"/>
    <s v="CUST8636"/>
    <s v="John Blair"/>
    <x v="3"/>
    <s v="Accessories"/>
    <s v="Keyboard"/>
    <n v="1"/>
    <n v="3837"/>
    <x v="136"/>
    <s v="Online Transfer"/>
  </r>
  <r>
    <x v="137"/>
    <n v="45566"/>
    <s v="CUST3551"/>
    <s v="Audrey Moody"/>
    <x v="1"/>
    <s v="Tablet"/>
    <s v="Amazon Fire"/>
    <n v="1"/>
    <n v="16680"/>
    <x v="137"/>
    <s v="M-Pesa"/>
  </r>
  <r>
    <x v="138"/>
    <n v="45780"/>
    <s v="CUST1924"/>
    <s v="Brian Hart II"/>
    <x v="1"/>
    <s v="Accessories"/>
    <s v="Charger"/>
    <n v="5"/>
    <n v="2554"/>
    <x v="95"/>
    <s v="M-Pesa"/>
  </r>
  <r>
    <x v="139"/>
    <n v="45607"/>
    <s v="CUST1307"/>
    <s v="Nancy Martinez"/>
    <x v="0"/>
    <s v="Phone"/>
    <s v="Tecno Spark"/>
    <n v="5"/>
    <n v="72445"/>
    <x v="138"/>
    <s v="Online Transfer"/>
  </r>
  <r>
    <x v="140"/>
    <n v="45751"/>
    <s v="CUST4546"/>
    <s v="Krista Simmons"/>
    <x v="3"/>
    <s v="Phone"/>
    <s v="iPhone 13"/>
    <n v="5"/>
    <n v="25914"/>
    <x v="139"/>
    <s v="Card"/>
  </r>
  <r>
    <x v="141"/>
    <n v="45816"/>
    <s v="CUST5251"/>
    <s v="Peter Hunter"/>
    <x v="0"/>
    <s v="Laptop"/>
    <s v="MacBook Air"/>
    <n v="1"/>
    <n v="133269"/>
    <x v="140"/>
    <s v="Cash"/>
  </r>
  <r>
    <x v="142"/>
    <n v="45787"/>
    <s v="CUST9625"/>
    <s v="Julie Nelson"/>
    <x v="0"/>
    <s v="Phone"/>
    <s v="Huawei P30"/>
    <n v="5"/>
    <n v="66123"/>
    <x v="141"/>
    <s v="Cash"/>
  </r>
  <r>
    <x v="143"/>
    <n v="45857"/>
    <s v="CUST8387"/>
    <s v="Anthony Cooper"/>
    <x v="0"/>
    <s v="Accessories"/>
    <s v="Headphones"/>
    <n v="1"/>
    <n v="3417"/>
    <x v="142"/>
    <s v="M-Pesa"/>
  </r>
  <r>
    <x v="144"/>
    <n v="45577"/>
    <s v="CUST6736"/>
    <s v="Anthony Warner"/>
    <x v="3"/>
    <s v="Accessories"/>
    <s v="Keyboard"/>
    <n v="1"/>
    <n v="1167"/>
    <x v="143"/>
    <s v="M-Pesa"/>
  </r>
  <r>
    <x v="145"/>
    <n v="45680"/>
    <s v="CUST5413"/>
    <s v="Nicholas Reese"/>
    <x v="0"/>
    <s v="Laptop"/>
    <s v="Dell Inspiron"/>
    <n v="2"/>
    <n v="26898"/>
    <x v="144"/>
    <s v="Card"/>
  </r>
  <r>
    <x v="146"/>
    <n v="45780"/>
    <s v="CUST6343"/>
    <s v="Eric Martin"/>
    <x v="0"/>
    <s v="Laptop"/>
    <s v="HP Pavilion"/>
    <n v="5"/>
    <n v="18709"/>
    <x v="145"/>
    <s v="Online Transfer"/>
  </r>
  <r>
    <x v="147"/>
    <n v="45601"/>
    <s v="CUST7484"/>
    <s v="Madison Anderson"/>
    <x v="1"/>
    <s v="Laptop"/>
    <s v="Dell Inspiron"/>
    <n v="2"/>
    <n v="145956"/>
    <x v="146"/>
    <s v="Cash"/>
  </r>
  <r>
    <x v="148"/>
    <n v="45768"/>
    <s v="CUST3785"/>
    <s v="Dr. Claudia Johnson DDS"/>
    <x v="0"/>
    <s v="Laptop"/>
    <s v="Lenovo ThinkPad"/>
    <n v="2"/>
    <n v="119981"/>
    <x v="147"/>
    <s v="Card"/>
  </r>
  <r>
    <x v="149"/>
    <n v="45875"/>
    <s v="CUST2265"/>
    <s v="Daniel Costa"/>
    <x v="1"/>
    <s v="Accessories"/>
    <s v="Keyboard"/>
    <n v="1"/>
    <n v="2992"/>
    <x v="148"/>
    <s v="Card"/>
  </r>
  <r>
    <x v="150"/>
    <n v="45803"/>
    <s v="CUST4158"/>
    <s v="Leslie Garcia"/>
    <x v="3"/>
    <s v="Phone"/>
    <s v="Samsung Galaxy S21"/>
    <n v="4"/>
    <n v="61301"/>
    <x v="149"/>
    <s v="Card"/>
  </r>
  <r>
    <x v="151"/>
    <n v="45680"/>
    <s v="CUST7578"/>
    <s v="Scott Hardin"/>
    <x v="3"/>
    <s v="Laptop"/>
    <s v="MacBook Air"/>
    <n v="4"/>
    <n v="143673"/>
    <x v="150"/>
    <s v="Card"/>
  </r>
  <r>
    <x v="152"/>
    <n v="45657"/>
    <s v="CUST8135"/>
    <s v="Joseph Contreras"/>
    <x v="3"/>
    <s v="Laptop"/>
    <s v="Lenovo ThinkPad"/>
    <n v="1"/>
    <n v="47226"/>
    <x v="151"/>
    <s v="M-Pesa"/>
  </r>
  <r>
    <x v="153"/>
    <n v="45694"/>
    <s v="CUST8406"/>
    <s v="Tanya Whitney"/>
    <x v="1"/>
    <s v="Tablet"/>
    <s v="Lenovo Tab"/>
    <n v="4"/>
    <n v="43254"/>
    <x v="152"/>
    <s v="Card"/>
  </r>
  <r>
    <x v="154"/>
    <n v="45561"/>
    <s v="CUST4592"/>
    <s v="Andrew Sullivan"/>
    <x v="2"/>
    <s v="Accessories"/>
    <s v="Headphones"/>
    <n v="1"/>
    <n v="3621"/>
    <x v="153"/>
    <s v="Cash"/>
  </r>
  <r>
    <x v="155"/>
    <n v="45682"/>
    <s v="CUST2672"/>
    <s v="Jacob Barnes"/>
    <x v="3"/>
    <s v="Laptop"/>
    <s v="Dell Inspiron"/>
    <n v="2"/>
    <n v="69152"/>
    <x v="154"/>
    <s v="Card"/>
  </r>
  <r>
    <x v="156"/>
    <n v="45832"/>
    <s v="CUST1578"/>
    <s v="Dana Gonzalez"/>
    <x v="2"/>
    <s v="Tablet"/>
    <s v="Amazon Fire"/>
    <n v="3"/>
    <n v="18314"/>
    <x v="155"/>
    <s v="Card"/>
  </r>
  <r>
    <x v="157"/>
    <n v="45607"/>
    <s v="CUST1282"/>
    <s v="Karla Conrad"/>
    <x v="3"/>
    <s v="Accessories"/>
    <s v="Wireless Mouse"/>
    <n v="1"/>
    <n v="4364"/>
    <x v="156"/>
    <s v="Card"/>
  </r>
  <r>
    <x v="158"/>
    <n v="45856"/>
    <s v="CUST9071"/>
    <s v="Christopher Willis"/>
    <x v="1"/>
    <s v="Accessories"/>
    <s v="Headphones"/>
    <n v="3"/>
    <n v="2103"/>
    <x v="157"/>
    <s v="M-Pesa"/>
  </r>
  <r>
    <x v="159"/>
    <n v="45848"/>
    <s v="CUST4048"/>
    <s v="Michael Soto"/>
    <x v="0"/>
    <s v="Phone"/>
    <s v="Huawei P30"/>
    <n v="1"/>
    <n v="57021"/>
    <x v="158"/>
    <s v="Online Transfer"/>
  </r>
  <r>
    <x v="160"/>
    <n v="45556"/>
    <s v="CUST4768"/>
    <s v="Julie Bailey"/>
    <x v="2"/>
    <s v="Accessories"/>
    <s v="Headphones"/>
    <n v="1"/>
    <n v="2726"/>
    <x v="159"/>
    <s v="M-Pesa"/>
  </r>
  <r>
    <x v="161"/>
    <n v="45581"/>
    <s v="CUST6027"/>
    <s v="Devin Evans"/>
    <x v="1"/>
    <s v="Tablet"/>
    <s v="Lenovo Tab"/>
    <n v="1"/>
    <n v="79166"/>
    <x v="160"/>
    <s v="Card"/>
  </r>
  <r>
    <x v="162"/>
    <n v="45677"/>
    <s v="CUST2635"/>
    <s v="Tammy Figueroa"/>
    <x v="3"/>
    <s v="Laptop"/>
    <s v="Lenovo ThinkPad"/>
    <n v="3"/>
    <n v="131870"/>
    <x v="161"/>
    <s v="Cash"/>
  </r>
  <r>
    <x v="163"/>
    <n v="45763"/>
    <s v="CUST4433"/>
    <s v="Latasha Doyle"/>
    <x v="1"/>
    <s v="Laptop"/>
    <s v="Dell Inspiron"/>
    <n v="2"/>
    <n v="143284"/>
    <x v="162"/>
    <s v="Card"/>
  </r>
  <r>
    <x v="164"/>
    <n v="45817"/>
    <s v="CUST5837"/>
    <s v="Martha Williams"/>
    <x v="0"/>
    <s v="Phone"/>
    <s v="Tecno Spark"/>
    <n v="2"/>
    <n v="64523"/>
    <x v="163"/>
    <s v="Online Transfer"/>
  </r>
  <r>
    <x v="165"/>
    <n v="45611"/>
    <s v="CUST3115"/>
    <s v="Evan Hudson"/>
    <x v="2"/>
    <s v="Phone"/>
    <s v="Tecno Spark"/>
    <n v="5"/>
    <n v="91603"/>
    <x v="164"/>
    <s v="Card"/>
  </r>
  <r>
    <x v="166"/>
    <n v="45706"/>
    <s v="CUST2061"/>
    <s v="Eric Wilson"/>
    <x v="0"/>
    <s v="Laptop"/>
    <s v="Lenovo ThinkPad"/>
    <n v="4"/>
    <n v="104067"/>
    <x v="165"/>
    <s v="M-Pesa"/>
  </r>
  <r>
    <x v="167"/>
    <n v="45629"/>
    <s v="CUST7448"/>
    <s v="David Daniel"/>
    <x v="2"/>
    <s v="Laptop"/>
    <s v="MacBook Air"/>
    <n v="5"/>
    <n v="86285"/>
    <x v="166"/>
    <s v="Cash"/>
  </r>
  <r>
    <x v="168"/>
    <n v="45845"/>
    <s v="CUST8894"/>
    <s v="John Barry"/>
    <x v="0"/>
    <s v="Accessories"/>
    <s v="Headphones"/>
    <n v="1"/>
    <n v="1719"/>
    <x v="167"/>
    <s v="Card"/>
  </r>
  <r>
    <x v="169"/>
    <n v="45694"/>
    <s v="CUST6226"/>
    <s v="Andrew Robinson"/>
    <x v="3"/>
    <s v="Tablet"/>
    <s v="Samsung Galaxy Tab"/>
    <n v="5"/>
    <n v="54404"/>
    <x v="168"/>
    <s v="M-Pesa"/>
  </r>
  <r>
    <x v="170"/>
    <n v="45607"/>
    <s v="CUST7836"/>
    <s v="Vanessa Mccormick"/>
    <x v="3"/>
    <s v="Tablet"/>
    <s v="Samsung Galaxy Tab"/>
    <n v="5"/>
    <n v="64595"/>
    <x v="169"/>
    <s v="M-Pesa"/>
  </r>
  <r>
    <x v="171"/>
    <n v="45799"/>
    <s v="CUST5933"/>
    <s v="Jamie Ortiz"/>
    <x v="2"/>
    <s v="Tablet"/>
    <s v="Lenovo Tab"/>
    <n v="2"/>
    <n v="36451"/>
    <x v="170"/>
    <s v="Card"/>
  </r>
  <r>
    <x v="172"/>
    <n v="45628"/>
    <s v="CUST3198"/>
    <s v="Michael Phillips"/>
    <x v="1"/>
    <s v="Phone"/>
    <s v="Samsung Galaxy S21"/>
    <n v="3"/>
    <n v="50900"/>
    <x v="171"/>
    <s v="Cash"/>
  </r>
  <r>
    <x v="173"/>
    <n v="45842"/>
    <s v="CUST6191"/>
    <s v="Danielle Jackson"/>
    <x v="3"/>
    <s v="Accessories"/>
    <s v="Headphones"/>
    <n v="1"/>
    <n v="3891"/>
    <x v="172"/>
    <s v="Cash"/>
  </r>
  <r>
    <x v="174"/>
    <n v="45845"/>
    <s v="CUST1933"/>
    <s v="Rachel Jones"/>
    <x v="2"/>
    <s v="Laptop"/>
    <s v="Lenovo ThinkPad"/>
    <n v="4"/>
    <n v="12973"/>
    <x v="173"/>
    <s v="M-Pesa"/>
  </r>
  <r>
    <x v="175"/>
    <n v="45625"/>
    <s v="CUST7735"/>
    <s v="Wesley George"/>
    <x v="1"/>
    <s v="Accessories"/>
    <s v="Keyboard"/>
    <n v="5"/>
    <n v="560"/>
    <x v="174"/>
    <s v="Online Transfer"/>
  </r>
  <r>
    <x v="176"/>
    <n v="45732"/>
    <s v="CUST1632"/>
    <s v="Mathew Smith"/>
    <x v="3"/>
    <s v="Laptop"/>
    <s v="MacBook Air"/>
    <n v="5"/>
    <n v="95918"/>
    <x v="175"/>
    <s v="Cash"/>
  </r>
  <r>
    <x v="177"/>
    <n v="45906"/>
    <s v="CUST8016"/>
    <s v="Jason Garza IV"/>
    <x v="3"/>
    <s v="Accessories"/>
    <s v="Headphones"/>
    <n v="1"/>
    <n v="799"/>
    <x v="176"/>
    <s v="Cash"/>
  </r>
  <r>
    <x v="178"/>
    <n v="45908"/>
    <s v="CUST4909"/>
    <s v="Brandy Morrow"/>
    <x v="0"/>
    <s v="Tablet"/>
    <s v="Amazon Fire"/>
    <n v="3"/>
    <n v="72077"/>
    <x v="177"/>
    <s v="Cash"/>
  </r>
  <r>
    <x v="179"/>
    <n v="45913"/>
    <s v="CUST7274"/>
    <s v="Jessica Scott"/>
    <x v="0"/>
    <s v="Accessories"/>
    <s v="Charger"/>
    <n v="2"/>
    <n v="2276"/>
    <x v="178"/>
    <s v="Online Transfer"/>
  </r>
  <r>
    <x v="180"/>
    <n v="45653"/>
    <s v="CUST3035"/>
    <s v="Kelsey Robbins"/>
    <x v="2"/>
    <s v="Accessories"/>
    <s v="Wireless Mouse"/>
    <n v="5"/>
    <n v="514"/>
    <x v="179"/>
    <s v="Card"/>
  </r>
  <r>
    <x v="181"/>
    <n v="45687"/>
    <s v="CUST4580"/>
    <s v="Anthony Mathews"/>
    <x v="0"/>
    <s v="Accessories"/>
    <s v="Keyboard"/>
    <n v="3"/>
    <n v="2007"/>
    <x v="180"/>
    <s v="M-Pesa"/>
  </r>
  <r>
    <x v="182"/>
    <n v="45619"/>
    <s v="CUST4246"/>
    <s v="Michelle Cervantes"/>
    <x v="1"/>
    <s v="Laptop"/>
    <s v="MacBook Air"/>
    <n v="2"/>
    <n v="96545"/>
    <x v="181"/>
    <s v="Card"/>
  </r>
  <r>
    <x v="183"/>
    <n v="45722"/>
    <s v="CUST1391"/>
    <s v="Chad Carpenter"/>
    <x v="0"/>
    <s v="Laptop"/>
    <s v="Dell Inspiron"/>
    <n v="4"/>
    <n v="36845"/>
    <x v="182"/>
    <s v="Online Transfer"/>
  </r>
  <r>
    <x v="184"/>
    <n v="45685"/>
    <s v="CUST1193"/>
    <s v="Gregory Brown"/>
    <x v="2"/>
    <s v="Accessories"/>
    <s v="Headphones"/>
    <n v="2"/>
    <n v="2533"/>
    <x v="183"/>
    <s v="Card"/>
  </r>
  <r>
    <x v="185"/>
    <n v="45653"/>
    <s v="CUST7521"/>
    <s v="Angela Reilly"/>
    <x v="1"/>
    <s v="Tablet"/>
    <s v="Lenovo Tab"/>
    <n v="5"/>
    <n v="18779"/>
    <x v="184"/>
    <s v="Card"/>
  </r>
  <r>
    <x v="186"/>
    <n v="45777"/>
    <s v="CUST2306"/>
    <s v="Barbara Christensen"/>
    <x v="0"/>
    <s v="Laptop"/>
    <s v="Dell Inspiron"/>
    <n v="4"/>
    <n v="19790"/>
    <x v="185"/>
    <s v="M-Pesa"/>
  </r>
  <r>
    <x v="187"/>
    <n v="45908"/>
    <s v="CUST7765"/>
    <s v="Mrs. Gina Lopez"/>
    <x v="0"/>
    <s v="Laptop"/>
    <s v="MacBook Air"/>
    <n v="3"/>
    <n v="113620"/>
    <x v="186"/>
    <s v="Card"/>
  </r>
  <r>
    <x v="188"/>
    <n v="45623"/>
    <s v="CUST1487"/>
    <s v="Yvonne Davis"/>
    <x v="3"/>
    <s v="Tablet"/>
    <s v="Amazon Fire"/>
    <n v="5"/>
    <n v="68082"/>
    <x v="187"/>
    <s v="Online Transfer"/>
  </r>
  <r>
    <x v="189"/>
    <n v="45821"/>
    <s v="CUST9813"/>
    <s v="Vincent Lee"/>
    <x v="1"/>
    <s v="Tablet"/>
    <s v="iPad Pro"/>
    <n v="4"/>
    <n v="29059"/>
    <x v="188"/>
    <s v="Online Transfer"/>
  </r>
  <r>
    <x v="190"/>
    <n v="45814"/>
    <s v="CUST3740"/>
    <s v="Laura Kemp"/>
    <x v="3"/>
    <s v="Tablet"/>
    <s v="iPad Pro"/>
    <n v="5"/>
    <n v="23897"/>
    <x v="189"/>
    <s v="M-Pesa"/>
  </r>
  <r>
    <x v="191"/>
    <n v="45870"/>
    <s v="CUST1236"/>
    <s v="Clinton Beard"/>
    <x v="3"/>
    <s v="Tablet"/>
    <s v="Samsung Galaxy Tab"/>
    <n v="2"/>
    <n v="28906"/>
    <x v="190"/>
    <s v="Cash"/>
  </r>
  <r>
    <x v="192"/>
    <n v="45849"/>
    <s v="CUST7292"/>
    <s v="Michael Berg"/>
    <x v="3"/>
    <s v="Phone"/>
    <s v="iPhone 13"/>
    <n v="4"/>
    <n v="89057"/>
    <x v="191"/>
    <s v="Card"/>
  </r>
  <r>
    <x v="193"/>
    <n v="45788"/>
    <s v="CUST9638"/>
    <s v="Patrick Grant"/>
    <x v="2"/>
    <s v="Tablet"/>
    <s v="Amazon Fire"/>
    <n v="5"/>
    <n v="52872"/>
    <x v="192"/>
    <s v="M-Pesa"/>
  </r>
  <r>
    <x v="194"/>
    <n v="45737"/>
    <s v="CUST1404"/>
    <s v="Anita Edwards"/>
    <x v="0"/>
    <s v="Tablet"/>
    <s v="Lenovo Tab"/>
    <n v="3"/>
    <n v="73270"/>
    <x v="193"/>
    <s v="Online Transfer"/>
  </r>
  <r>
    <x v="195"/>
    <n v="45852"/>
    <s v="CUST5453"/>
    <s v="Jack Warren"/>
    <x v="1"/>
    <s v="Phone"/>
    <s v="Tecno Spark"/>
    <n v="5"/>
    <n v="47701"/>
    <x v="194"/>
    <s v="Online Transfer"/>
  </r>
  <r>
    <x v="196"/>
    <n v="45823"/>
    <s v="CUST1115"/>
    <s v="Walter Gonzalez"/>
    <x v="1"/>
    <s v="Phone"/>
    <s v="Tecno Spark"/>
    <n v="5"/>
    <n v="38264"/>
    <x v="195"/>
    <s v="M-Pesa"/>
  </r>
  <r>
    <x v="197"/>
    <n v="45803"/>
    <s v="CUST3852"/>
    <s v="Marcus Mccarty"/>
    <x v="0"/>
    <s v="Laptop"/>
    <s v="Lenovo ThinkPad"/>
    <n v="5"/>
    <n v="84828"/>
    <x v="196"/>
    <s v="Online Transfer"/>
  </r>
  <r>
    <x v="198"/>
    <n v="45615"/>
    <s v="CUST7877"/>
    <s v="James Rodriguez"/>
    <x v="1"/>
    <s v="Accessories"/>
    <s v="Charger"/>
    <n v="2"/>
    <n v="1635"/>
    <x v="197"/>
    <s v="Card"/>
  </r>
  <r>
    <x v="199"/>
    <n v="45778"/>
    <s v="CUST2520"/>
    <s v="Kendra Wilson"/>
    <x v="1"/>
    <s v="Tablet"/>
    <s v="Lenovo Tab"/>
    <n v="4"/>
    <n v="72467"/>
    <x v="198"/>
    <s v="M-Pesa"/>
  </r>
  <r>
    <x v="200"/>
    <m/>
    <m/>
    <m/>
    <x v="4"/>
    <m/>
    <m/>
    <m/>
    <m/>
    <x v="199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n v="45683"/>
    <s v="CUST8108"/>
    <x v="0"/>
    <s v="Kisumu"/>
    <x v="0"/>
    <s v="MacBook Air"/>
    <n v="1"/>
    <n v="135097"/>
    <n v="135097"/>
    <s v="Online Transfer"/>
  </r>
  <r>
    <s v="ORD0002"/>
    <n v="45681"/>
    <s v="CUST4908"/>
    <x v="1"/>
    <s v="Nairobi"/>
    <x v="0"/>
    <s v="HP Pavilion"/>
    <n v="4"/>
    <n v="62800"/>
    <n v="251200"/>
    <s v="M-Pesa"/>
  </r>
  <r>
    <s v="ORD0003"/>
    <n v="45684"/>
    <s v="CUST2206"/>
    <x v="2"/>
    <s v="Nairobi"/>
    <x v="1"/>
    <s v="Lenovo Tab"/>
    <n v="3"/>
    <n v="64876"/>
    <n v="194628"/>
    <s v="M-Pesa"/>
  </r>
  <r>
    <s v="ORD0004"/>
    <n v="45711"/>
    <s v="CUST9048"/>
    <x v="3"/>
    <s v="Eldoret"/>
    <x v="0"/>
    <s v="Lenovo ThinkPad"/>
    <n v="4"/>
    <n v="60027"/>
    <n v="240108"/>
    <s v="Card"/>
  </r>
  <r>
    <s v="ORD0005"/>
    <n v="45604"/>
    <s v="CUST9382"/>
    <x v="4"/>
    <s v="Kisumu"/>
    <x v="2"/>
    <s v="iPhone 13"/>
    <n v="1"/>
    <n v="95282"/>
    <n v="95282"/>
    <s v="M-Pesa"/>
  </r>
  <r>
    <s v="ORD0006"/>
    <n v="45639"/>
    <s v="CUST5475"/>
    <x v="5"/>
    <s v="Eldoret"/>
    <x v="2"/>
    <s v="iPhone 13"/>
    <n v="4"/>
    <n v="75605"/>
    <n v="302420"/>
    <s v="M-Pesa"/>
  </r>
  <r>
    <s v="ORD0007"/>
    <n v="45707"/>
    <s v="CUST4404"/>
    <x v="6"/>
    <s v="Kisumu"/>
    <x v="3"/>
    <s v="Headphones"/>
    <n v="2"/>
    <n v="3954"/>
    <n v="7908"/>
    <s v="Cash"/>
  </r>
  <r>
    <s v="ORD0008"/>
    <n v="45717"/>
    <s v="CUST7815"/>
    <x v="7"/>
    <s v="Nairobi"/>
    <x v="3"/>
    <s v="Charger"/>
    <n v="1"/>
    <n v="3246"/>
    <n v="3246"/>
    <s v="Cash"/>
  </r>
  <r>
    <s v="ORD0009"/>
    <n v="45756"/>
    <s v="CUST6758"/>
    <x v="8"/>
    <s v="Kisumu"/>
    <x v="0"/>
    <s v="HP Pavilion"/>
    <n v="1"/>
    <n v="42616"/>
    <n v="42616"/>
    <s v="Cash"/>
  </r>
  <r>
    <s v="ORD0010"/>
    <n v="45645"/>
    <s v="CUST2484"/>
    <x v="9"/>
    <s v="Kisumu"/>
    <x v="0"/>
    <s v="HP Pavilion"/>
    <n v="5"/>
    <n v="33551"/>
    <n v="167755"/>
    <s v="M-Pesa"/>
  </r>
  <r>
    <s v="ORD0011"/>
    <n v="45582"/>
    <s v="CUST7413"/>
    <x v="10"/>
    <s v="Mombasa"/>
    <x v="2"/>
    <s v="Samsung Galaxy S21"/>
    <n v="3"/>
    <n v="53827"/>
    <n v="161481"/>
    <s v="Card"/>
  </r>
  <r>
    <s v="ORD0012"/>
    <n v="45824"/>
    <s v="CUST9346"/>
    <x v="11"/>
    <s v="Mombasa"/>
    <x v="3"/>
    <s v="Charger"/>
    <n v="2"/>
    <n v="2513"/>
    <n v="5026"/>
    <s v="Online Transfer"/>
  </r>
  <r>
    <s v="ORD0013"/>
    <n v="45743"/>
    <s v="CUST5851"/>
    <x v="12"/>
    <s v="Mombasa"/>
    <x v="0"/>
    <s v="HP Pavilion"/>
    <n v="4"/>
    <n v="83026"/>
    <n v="332104"/>
    <s v="Card"/>
  </r>
  <r>
    <s v="ORD0014"/>
    <n v="45588"/>
    <s v="CUST8368"/>
    <x v="13"/>
    <s v="Eldoret"/>
    <x v="1"/>
    <s v="Lenovo Tab"/>
    <n v="3"/>
    <n v="17287"/>
    <n v="51861"/>
    <s v="Card"/>
  </r>
  <r>
    <s v="ORD0015"/>
    <n v="45898"/>
    <s v="CUST6503"/>
    <x v="14"/>
    <s v="Nairobi"/>
    <x v="0"/>
    <s v="Lenovo ThinkPad"/>
    <n v="5"/>
    <n v="63155"/>
    <n v="315775"/>
    <s v="Card"/>
  </r>
  <r>
    <s v="ORD0016"/>
    <n v="45750"/>
    <s v="CUST9997"/>
    <x v="15"/>
    <s v="Eldoret"/>
    <x v="2"/>
    <s v="Huawei P30"/>
    <n v="3"/>
    <n v="71024"/>
    <n v="213072"/>
    <s v="Online Transfer"/>
  </r>
  <r>
    <s v="ORD0017"/>
    <n v="45904"/>
    <s v="CUST7074"/>
    <x v="16"/>
    <s v="Kisumu"/>
    <x v="3"/>
    <s v="Charger"/>
    <n v="3"/>
    <n v="1464"/>
    <n v="4392"/>
    <s v="Cash"/>
  </r>
  <r>
    <s v="ORD0018"/>
    <n v="45813"/>
    <s v="CUST3283"/>
    <x v="17"/>
    <s v="Mombasa"/>
    <x v="1"/>
    <s v="iPad Pro"/>
    <n v="4"/>
    <n v="6265"/>
    <n v="25060"/>
    <s v="Cash"/>
  </r>
  <r>
    <s v="ORD0019"/>
    <n v="45670"/>
    <s v="CUST4980"/>
    <x v="18"/>
    <s v="Eldoret"/>
    <x v="0"/>
    <s v="MacBook Air"/>
    <n v="3"/>
    <n v="132686"/>
    <n v="398058"/>
    <s v="Online Transfer"/>
  </r>
  <r>
    <s v="ORD0020"/>
    <n v="45826"/>
    <s v="CUST2599"/>
    <x v="19"/>
    <s v="Kisumu"/>
    <x v="1"/>
    <s v="Lenovo Tab"/>
    <n v="2"/>
    <n v="25639"/>
    <n v="51278"/>
    <s v="Cash"/>
  </r>
  <r>
    <s v="ORD0021"/>
    <n v="45584"/>
    <s v="CUST5981"/>
    <x v="20"/>
    <s v="Nairobi"/>
    <x v="2"/>
    <s v="Tecno Spark"/>
    <n v="2"/>
    <n v="79779"/>
    <n v="159558"/>
    <s v="Online Transfer"/>
  </r>
  <r>
    <s v="ORD0022"/>
    <n v="45639"/>
    <s v="CUST9731"/>
    <x v="21"/>
    <s v="Eldoret"/>
    <x v="3"/>
    <s v="Charger"/>
    <n v="2"/>
    <n v="3958"/>
    <n v="7916"/>
    <s v="M-Pesa"/>
  </r>
  <r>
    <s v="ORD0023"/>
    <n v="45857"/>
    <s v="CUST8306"/>
    <x v="22"/>
    <s v="Eldoret"/>
    <x v="0"/>
    <s v="HP Pavilion"/>
    <n v="4"/>
    <n v="23197"/>
    <n v="92788"/>
    <s v="M-Pesa"/>
  </r>
  <r>
    <s v="ORD0024"/>
    <n v="45797"/>
    <s v="CUST5049"/>
    <x v="23"/>
    <s v="Eldoret"/>
    <x v="0"/>
    <s v="HP Pavilion"/>
    <n v="5"/>
    <n v="58602"/>
    <n v="293010"/>
    <s v="Card"/>
  </r>
  <r>
    <s v="ORD0025"/>
    <n v="45704"/>
    <s v="CUST3252"/>
    <x v="24"/>
    <s v="Eldoret"/>
    <x v="0"/>
    <s v="Dell Inspiron"/>
    <n v="3"/>
    <n v="85922"/>
    <n v="257766"/>
    <s v="M-Pesa"/>
  </r>
  <r>
    <s v="ORD0026"/>
    <n v="45720"/>
    <s v="CUST9172"/>
    <x v="25"/>
    <s v="Mombasa"/>
    <x v="0"/>
    <s v="MacBook Air"/>
    <n v="3"/>
    <n v="23582"/>
    <n v="70746"/>
    <s v="Card"/>
  </r>
  <r>
    <s v="ORD0027"/>
    <n v="45556"/>
    <s v="CUST8270"/>
    <x v="26"/>
    <s v="Eldoret"/>
    <x v="2"/>
    <s v="Huawei P30"/>
    <n v="4"/>
    <n v="37423"/>
    <n v="149692"/>
    <s v="Card"/>
  </r>
  <r>
    <s v="ORD0028"/>
    <n v="45607"/>
    <s v="CUST9231"/>
    <x v="27"/>
    <s v="Kisumu"/>
    <x v="3"/>
    <s v="Headphones"/>
    <n v="5"/>
    <n v="4645"/>
    <n v="23225"/>
    <s v="Cash"/>
  </r>
  <r>
    <s v="ORD0029"/>
    <n v="45883"/>
    <s v="CUST4583"/>
    <x v="28"/>
    <s v="Kisumu"/>
    <x v="1"/>
    <s v="iPad Pro"/>
    <n v="1"/>
    <n v="26925"/>
    <n v="26925"/>
    <s v="Cash"/>
  </r>
  <r>
    <s v="ORD0030"/>
    <n v="45884"/>
    <s v="CUST8453"/>
    <x v="29"/>
    <s v="Eldoret"/>
    <x v="1"/>
    <s v="Amazon Fire"/>
    <n v="3"/>
    <n v="53983"/>
    <n v="161949"/>
    <s v="Online Transfer"/>
  </r>
  <r>
    <s v="ORD0031"/>
    <n v="45687"/>
    <s v="CUST1748"/>
    <x v="30"/>
    <s v="Mombasa"/>
    <x v="0"/>
    <s v="Lenovo ThinkPad"/>
    <n v="2"/>
    <n v="36920"/>
    <n v="73840"/>
    <s v="Card"/>
  </r>
  <r>
    <s v="ORD0032"/>
    <n v="45729"/>
    <s v="CUST9090"/>
    <x v="31"/>
    <s v="Nairobi"/>
    <x v="3"/>
    <s v="Wireless Mouse"/>
    <n v="3"/>
    <n v="1509"/>
    <n v="4527"/>
    <s v="Online Transfer"/>
  </r>
  <r>
    <s v="ORD0033"/>
    <n v="45816"/>
    <s v="CUST8331"/>
    <x v="32"/>
    <s v="Kisumu"/>
    <x v="3"/>
    <s v="Headphones"/>
    <n v="5"/>
    <n v="2783"/>
    <n v="13915"/>
    <s v="Online Transfer"/>
  </r>
  <r>
    <s v="ORD0034"/>
    <n v="45735"/>
    <s v="CUST5154"/>
    <x v="33"/>
    <s v="Eldoret"/>
    <x v="1"/>
    <s v="iPad Pro"/>
    <n v="4"/>
    <n v="50323"/>
    <n v="201292"/>
    <s v="Card"/>
  </r>
  <r>
    <s v="ORD0035"/>
    <n v="45866"/>
    <s v="CUST5108"/>
    <x v="34"/>
    <s v="Eldoret"/>
    <x v="2"/>
    <s v="Huawei P30"/>
    <n v="4"/>
    <n v="79783"/>
    <n v="319132"/>
    <s v="Online Transfer"/>
  </r>
  <r>
    <s v="ORD0036"/>
    <n v="45757"/>
    <s v="CUST8443"/>
    <x v="35"/>
    <s v="Mombasa"/>
    <x v="3"/>
    <s v="Keyboard"/>
    <n v="2"/>
    <n v="1390"/>
    <n v="2780"/>
    <s v="Cash"/>
  </r>
  <r>
    <s v="ORD0037"/>
    <n v="45767"/>
    <s v="CUST5311"/>
    <x v="36"/>
    <s v="Mombasa"/>
    <x v="1"/>
    <s v="Amazon Fire"/>
    <n v="3"/>
    <n v="57382"/>
    <n v="172146"/>
    <s v="Card"/>
  </r>
  <r>
    <s v="ORD0038"/>
    <n v="45638"/>
    <s v="CUST5199"/>
    <x v="37"/>
    <s v="Nairobi"/>
    <x v="0"/>
    <s v="MacBook Air"/>
    <n v="4"/>
    <n v="147086"/>
    <n v="588344"/>
    <s v="Card"/>
  </r>
  <r>
    <s v="ORD0039"/>
    <n v="45599"/>
    <s v="CUST5831"/>
    <x v="38"/>
    <s v="Kisumu"/>
    <x v="0"/>
    <s v="Lenovo ThinkPad"/>
    <n v="3"/>
    <n v="68942"/>
    <n v="206826"/>
    <s v="Cash"/>
  </r>
  <r>
    <s v="ORD0040"/>
    <n v="45684"/>
    <s v="CUST9276"/>
    <x v="39"/>
    <s v="Eldoret"/>
    <x v="0"/>
    <s v="Lenovo ThinkPad"/>
    <n v="2"/>
    <n v="106609"/>
    <n v="213218"/>
    <s v="Cash"/>
  </r>
  <r>
    <s v="ORD0041"/>
    <n v="45869"/>
    <s v="CUST6412"/>
    <x v="40"/>
    <s v="Kisumu"/>
    <x v="3"/>
    <s v="Keyboard"/>
    <n v="4"/>
    <n v="1876"/>
    <n v="7504"/>
    <s v="Card"/>
  </r>
  <r>
    <s v="ORD0042"/>
    <n v="45825"/>
    <s v="CUST5715"/>
    <x v="41"/>
    <s v="Nairobi"/>
    <x v="3"/>
    <s v="Headphones"/>
    <n v="1"/>
    <n v="3235"/>
    <n v="3235"/>
    <s v="M-Pesa"/>
  </r>
  <r>
    <s v="ORD0043"/>
    <n v="45716"/>
    <s v="CUST1164"/>
    <x v="42"/>
    <s v="Kisumu"/>
    <x v="0"/>
    <s v="Dell Inspiron"/>
    <n v="5"/>
    <n v="10499"/>
    <n v="52495"/>
    <s v="Cash"/>
  </r>
  <r>
    <s v="ORD0044"/>
    <n v="45654"/>
    <s v="CUST5369"/>
    <x v="43"/>
    <s v="Kisumu"/>
    <x v="3"/>
    <s v="Headphones"/>
    <n v="4"/>
    <n v="3304"/>
    <n v="13216"/>
    <s v="Cash"/>
  </r>
  <r>
    <s v="ORD0045"/>
    <n v="45688"/>
    <s v="CUST4663"/>
    <x v="44"/>
    <s v="Eldoret"/>
    <x v="3"/>
    <s v="Headphones"/>
    <n v="4"/>
    <n v="597"/>
    <n v="2388"/>
    <s v="M-Pesa"/>
  </r>
  <r>
    <s v="ORD0046"/>
    <n v="45840"/>
    <s v="CUST8485"/>
    <x v="45"/>
    <s v="Mombasa"/>
    <x v="0"/>
    <s v="HP Pavilion"/>
    <n v="5"/>
    <n v="122260"/>
    <n v="611300"/>
    <s v="Card"/>
  </r>
  <r>
    <s v="ORD0047"/>
    <n v="45626"/>
    <s v="CUST9378"/>
    <x v="46"/>
    <s v="Nairobi"/>
    <x v="3"/>
    <s v="Keyboard"/>
    <n v="3"/>
    <n v="1626"/>
    <n v="4878"/>
    <s v="Card"/>
  </r>
  <r>
    <s v="ORD0048"/>
    <n v="45586"/>
    <s v="CUST6449"/>
    <x v="47"/>
    <s v="Kisumu"/>
    <x v="2"/>
    <s v="iPhone 13"/>
    <n v="1"/>
    <n v="93643"/>
    <n v="93643"/>
    <s v="Online Transfer"/>
  </r>
  <r>
    <s v="ORD0049"/>
    <n v="45570"/>
    <s v="CUST9360"/>
    <x v="48"/>
    <s v="Kisumu"/>
    <x v="3"/>
    <s v="Keyboard"/>
    <n v="3"/>
    <n v="2764"/>
    <n v="8292"/>
    <s v="M-Pesa"/>
  </r>
  <r>
    <s v="ORD0050"/>
    <n v="45602"/>
    <s v="CUST9004"/>
    <x v="49"/>
    <s v="Eldoret"/>
    <x v="3"/>
    <s v="Charger"/>
    <n v="2"/>
    <n v="2282"/>
    <n v="4564"/>
    <s v="Card"/>
  </r>
  <r>
    <s v="ORD0051"/>
    <n v="45721"/>
    <s v="CUST4251"/>
    <x v="50"/>
    <s v="Kisumu"/>
    <x v="0"/>
    <s v="Dell Inspiron"/>
    <n v="1"/>
    <n v="35936"/>
    <n v="35936"/>
    <s v="Online Transfer"/>
  </r>
  <r>
    <s v="ORD0052"/>
    <n v="45863"/>
    <s v="CUST4666"/>
    <x v="51"/>
    <s v="Mombasa"/>
    <x v="2"/>
    <s v="Huawei P30"/>
    <n v="2"/>
    <n v="46573"/>
    <n v="93146"/>
    <s v="M-Pesa"/>
  </r>
  <r>
    <s v="ORD0053"/>
    <n v="45709"/>
    <s v="CUST3052"/>
    <x v="52"/>
    <s v="Nairobi"/>
    <x v="2"/>
    <s v="Samsung Galaxy S21"/>
    <n v="4"/>
    <n v="42892"/>
    <n v="171568"/>
    <s v="M-Pesa"/>
  </r>
  <r>
    <s v="ORD0054"/>
    <n v="45592"/>
    <s v="CUST9153"/>
    <x v="53"/>
    <s v="Eldoret"/>
    <x v="0"/>
    <s v="Dell Inspiron"/>
    <n v="1"/>
    <n v="66815"/>
    <n v="66815"/>
    <s v="Card"/>
  </r>
  <r>
    <s v="ORD0055"/>
    <n v="45652"/>
    <s v="CUST9105"/>
    <x v="54"/>
    <s v="Nairobi"/>
    <x v="2"/>
    <s v="Samsung Galaxy S21"/>
    <n v="3"/>
    <n v="9510"/>
    <n v="28530"/>
    <s v="Cash"/>
  </r>
  <r>
    <s v="ORD0056"/>
    <n v="45582"/>
    <s v="CUST1980"/>
    <x v="55"/>
    <s v="Kisumu"/>
    <x v="3"/>
    <s v="Keyboard"/>
    <n v="1"/>
    <n v="1460"/>
    <n v="1460"/>
    <s v="M-Pesa"/>
  </r>
  <r>
    <s v="ORD0057"/>
    <n v="45583"/>
    <s v="CUST6853"/>
    <x v="56"/>
    <s v="Kisumu"/>
    <x v="1"/>
    <s v="Lenovo Tab"/>
    <n v="1"/>
    <n v="79582"/>
    <n v="79582"/>
    <s v="M-Pesa"/>
  </r>
  <r>
    <s v="ORD0058"/>
    <n v="45556"/>
    <s v="CUST5384"/>
    <x v="57"/>
    <s v="Nairobi"/>
    <x v="2"/>
    <s v="Samsung Galaxy S21"/>
    <n v="3"/>
    <n v="19817"/>
    <n v="59451"/>
    <s v="Card"/>
  </r>
  <r>
    <s v="ORD0059"/>
    <n v="45669"/>
    <s v="CUST5167"/>
    <x v="58"/>
    <s v="Kisumu"/>
    <x v="3"/>
    <s v="Headphones"/>
    <n v="3"/>
    <n v="738"/>
    <n v="2214"/>
    <s v="Online Transfer"/>
  </r>
  <r>
    <s v="ORD0060"/>
    <n v="45893"/>
    <s v="CUST3957"/>
    <x v="59"/>
    <s v="Kisumu"/>
    <x v="3"/>
    <s v="Headphones"/>
    <n v="3"/>
    <n v="2925"/>
    <n v="8775"/>
    <s v="Cash"/>
  </r>
  <r>
    <s v="ORD0061"/>
    <n v="45752"/>
    <s v="CUST5202"/>
    <x v="60"/>
    <s v="Nairobi"/>
    <x v="1"/>
    <s v="Lenovo Tab"/>
    <n v="1"/>
    <n v="68587"/>
    <n v="68587"/>
    <s v="M-Pesa"/>
  </r>
  <r>
    <s v="ORD0062"/>
    <n v="45583"/>
    <s v="CUST7974"/>
    <x v="61"/>
    <s v="Nairobi"/>
    <x v="1"/>
    <s v="Lenovo Tab"/>
    <n v="2"/>
    <n v="8703"/>
    <n v="17406"/>
    <s v="M-Pesa"/>
  </r>
  <r>
    <s v="ORD0063"/>
    <n v="45624"/>
    <s v="CUST7535"/>
    <x v="62"/>
    <s v="Kisumu"/>
    <x v="3"/>
    <s v="Wireless Mouse"/>
    <n v="4"/>
    <n v="581"/>
    <n v="2324"/>
    <s v="Cash"/>
  </r>
  <r>
    <s v="ORD0064"/>
    <n v="45825"/>
    <s v="CUST1401"/>
    <x v="63"/>
    <s v="Eldoret"/>
    <x v="2"/>
    <s v="iPhone 13"/>
    <n v="5"/>
    <n v="49012"/>
    <n v="245060"/>
    <s v="Card"/>
  </r>
  <r>
    <s v="ORD0065"/>
    <n v="45583"/>
    <s v="CUST9647"/>
    <x v="64"/>
    <s v="Eldoret"/>
    <x v="2"/>
    <s v="Huawei P30"/>
    <n v="4"/>
    <n v="43312"/>
    <n v="173248"/>
    <s v="Card"/>
  </r>
  <r>
    <s v="ORD0066"/>
    <n v="45726"/>
    <s v="CUST6853"/>
    <x v="65"/>
    <s v="Eldoret"/>
    <x v="2"/>
    <s v="iPhone 13"/>
    <n v="3"/>
    <n v="81989"/>
    <n v="245967"/>
    <s v="M-Pesa"/>
  </r>
  <r>
    <s v="ORD0067"/>
    <n v="45722"/>
    <s v="CUST9062"/>
    <x v="66"/>
    <s v="Eldoret"/>
    <x v="2"/>
    <s v="iPhone 13"/>
    <n v="4"/>
    <n v="53760"/>
    <n v="215040"/>
    <s v="M-Pesa"/>
  </r>
  <r>
    <s v="ORD0068"/>
    <n v="45700"/>
    <s v="CUST1814"/>
    <x v="67"/>
    <s v="Eldoret"/>
    <x v="1"/>
    <s v="Lenovo Tab"/>
    <n v="2"/>
    <n v="63302"/>
    <n v="126604"/>
    <s v="Cash"/>
  </r>
  <r>
    <s v="ORD0069"/>
    <n v="45602"/>
    <s v="CUST5541"/>
    <x v="68"/>
    <s v="Eldoret"/>
    <x v="2"/>
    <s v="Samsung Galaxy S21"/>
    <n v="5"/>
    <n v="9247"/>
    <n v="46235"/>
    <s v="Cash"/>
  </r>
  <r>
    <s v="ORD0070"/>
    <n v="45632"/>
    <s v="CUST3794"/>
    <x v="69"/>
    <s v="Nairobi"/>
    <x v="1"/>
    <s v="Lenovo Tab"/>
    <n v="5"/>
    <n v="42170"/>
    <n v="210850"/>
    <s v="Card"/>
  </r>
  <r>
    <s v="ORD0071"/>
    <n v="45775"/>
    <s v="CUST5794"/>
    <x v="70"/>
    <s v="Kisumu"/>
    <x v="3"/>
    <s v="Charger"/>
    <n v="3"/>
    <n v="1299"/>
    <n v="3897"/>
    <s v="Cash"/>
  </r>
  <r>
    <s v="ORD0072"/>
    <n v="45900"/>
    <s v="CUST8211"/>
    <x v="71"/>
    <s v="Kisumu"/>
    <x v="3"/>
    <s v="Charger"/>
    <n v="5"/>
    <n v="3503"/>
    <n v="17515"/>
    <s v="Card"/>
  </r>
  <r>
    <s v="ORD0073"/>
    <n v="45749"/>
    <s v="CUST2990"/>
    <x v="72"/>
    <s v="Mombasa"/>
    <x v="2"/>
    <s v="iPhone 13"/>
    <n v="4"/>
    <n v="54957"/>
    <n v="219828"/>
    <s v="Card"/>
  </r>
  <r>
    <s v="ORD0074"/>
    <n v="45912"/>
    <s v="CUST2401"/>
    <x v="73"/>
    <s v="Mombasa"/>
    <x v="2"/>
    <s v="iPhone 13"/>
    <n v="5"/>
    <n v="84361"/>
    <n v="421805"/>
    <s v="Card"/>
  </r>
  <r>
    <s v="ORD0075"/>
    <n v="45728"/>
    <s v="CUST8321"/>
    <x v="74"/>
    <s v="Mombasa"/>
    <x v="0"/>
    <s v="MacBook Air"/>
    <n v="3"/>
    <n v="71340"/>
    <n v="214020"/>
    <s v="M-Pesa"/>
  </r>
  <r>
    <s v="ORD0076"/>
    <n v="45670"/>
    <s v="CUST7262"/>
    <x v="75"/>
    <s v="Mombasa"/>
    <x v="3"/>
    <s v="Headphones"/>
    <n v="1"/>
    <n v="1916"/>
    <n v="1916"/>
    <s v="M-Pesa"/>
  </r>
  <r>
    <s v="ORD0077"/>
    <n v="45784"/>
    <s v="CUST7245"/>
    <x v="76"/>
    <s v="Mombasa"/>
    <x v="1"/>
    <s v="Amazon Fire"/>
    <n v="4"/>
    <n v="22302"/>
    <n v="89208"/>
    <s v="Card"/>
  </r>
  <r>
    <s v="ORD0078"/>
    <n v="45649"/>
    <s v="CUST7421"/>
    <x v="77"/>
    <s v="Kisumu"/>
    <x v="3"/>
    <s v="Charger"/>
    <n v="3"/>
    <n v="2902"/>
    <n v="8706"/>
    <s v="Cash"/>
  </r>
  <r>
    <s v="ORD0079"/>
    <n v="45915"/>
    <s v="CUST1940"/>
    <x v="78"/>
    <s v="Kisumu"/>
    <x v="1"/>
    <s v="Amazon Fire"/>
    <n v="5"/>
    <n v="57647"/>
    <n v="288235"/>
    <s v="M-Pesa"/>
  </r>
  <r>
    <s v="ORD0080"/>
    <n v="45711"/>
    <s v="CUST7002"/>
    <x v="79"/>
    <s v="Mombasa"/>
    <x v="0"/>
    <s v="HP Pavilion"/>
    <n v="3"/>
    <n v="56530"/>
    <n v="169590"/>
    <s v="Cash"/>
  </r>
  <r>
    <s v="ORD0081"/>
    <n v="45769"/>
    <s v="CUST4817"/>
    <x v="80"/>
    <s v="Mombasa"/>
    <x v="0"/>
    <s v="HP Pavilion"/>
    <n v="5"/>
    <n v="127201"/>
    <n v="636005"/>
    <s v="Cash"/>
  </r>
  <r>
    <s v="ORD0082"/>
    <n v="45908"/>
    <s v="CUST9165"/>
    <x v="81"/>
    <s v="Nairobi"/>
    <x v="0"/>
    <s v="HP Pavilion"/>
    <n v="4"/>
    <n v="137279"/>
    <n v="549116"/>
    <s v="Online Transfer"/>
  </r>
  <r>
    <s v="ORD0083"/>
    <n v="45852"/>
    <s v="CUST9475"/>
    <x v="82"/>
    <s v="Mombasa"/>
    <x v="3"/>
    <s v="Keyboard"/>
    <n v="4"/>
    <n v="3552"/>
    <n v="14208"/>
    <s v="M-Pesa"/>
  </r>
  <r>
    <s v="ORD0084"/>
    <n v="45631"/>
    <s v="CUST3279"/>
    <x v="83"/>
    <s v="Nairobi"/>
    <x v="0"/>
    <s v="MacBook Air"/>
    <n v="5"/>
    <n v="17370"/>
    <n v="86850"/>
    <s v="M-Pesa"/>
  </r>
  <r>
    <s v="ORD0085"/>
    <n v="45760"/>
    <s v="CUST3049"/>
    <x v="84"/>
    <s v="Mombasa"/>
    <x v="0"/>
    <s v="Dell Inspiron"/>
    <n v="1"/>
    <n v="109961"/>
    <n v="109961"/>
    <s v="M-Pesa"/>
  </r>
  <r>
    <s v="ORD0086"/>
    <n v="45579"/>
    <s v="CUST9644"/>
    <x v="85"/>
    <s v="Mombasa"/>
    <x v="1"/>
    <s v="Samsung Galaxy Tab"/>
    <n v="4"/>
    <n v="77421"/>
    <n v="309684"/>
    <s v="Cash"/>
  </r>
  <r>
    <s v="ORD0087"/>
    <n v="45904"/>
    <s v="CUST2305"/>
    <x v="86"/>
    <s v="Nairobi"/>
    <x v="3"/>
    <s v="Keyboard"/>
    <n v="4"/>
    <n v="3964"/>
    <n v="15856"/>
    <s v="Online Transfer"/>
  </r>
  <r>
    <s v="ORD0088"/>
    <n v="45840"/>
    <s v="CUST1520"/>
    <x v="87"/>
    <s v="Eldoret"/>
    <x v="3"/>
    <s v="Charger"/>
    <n v="3"/>
    <n v="2045"/>
    <n v="6135"/>
    <s v="Card"/>
  </r>
  <r>
    <s v="ORD0089"/>
    <n v="45756"/>
    <s v="CUST7300"/>
    <x v="88"/>
    <s v="Mombasa"/>
    <x v="0"/>
    <s v="Lenovo ThinkPad"/>
    <n v="4"/>
    <n v="102472"/>
    <n v="409888"/>
    <s v="Online Transfer"/>
  </r>
  <r>
    <s v="ORD0090"/>
    <n v="45786"/>
    <s v="CUST8078"/>
    <x v="89"/>
    <s v="Eldoret"/>
    <x v="2"/>
    <s v="iPhone 13"/>
    <n v="5"/>
    <n v="45579"/>
    <n v="227895"/>
    <s v="Cash"/>
  </r>
  <r>
    <s v="ORD0091"/>
    <n v="45783"/>
    <s v="CUST9515"/>
    <x v="90"/>
    <s v="Mombasa"/>
    <x v="0"/>
    <s v="MacBook Air"/>
    <n v="5"/>
    <n v="40515"/>
    <n v="202575"/>
    <s v="Online Transfer"/>
  </r>
  <r>
    <s v="ORD0092"/>
    <n v="45760"/>
    <s v="CUST5784"/>
    <x v="91"/>
    <s v="Kisumu"/>
    <x v="3"/>
    <s v="Keyboard"/>
    <n v="1"/>
    <n v="889"/>
    <n v="889"/>
    <s v="M-Pesa"/>
  </r>
  <r>
    <s v="ORD0093"/>
    <n v="45601"/>
    <s v="CUST6083"/>
    <x v="92"/>
    <s v="Nairobi"/>
    <x v="3"/>
    <s v="Headphones"/>
    <n v="1"/>
    <n v="4607"/>
    <n v="4607"/>
    <s v="Online Transfer"/>
  </r>
  <r>
    <s v="ORD0094"/>
    <n v="45793"/>
    <s v="CUST2057"/>
    <x v="93"/>
    <s v="Nairobi"/>
    <x v="0"/>
    <s v="HP Pavilion"/>
    <n v="3"/>
    <n v="126557"/>
    <n v="379671"/>
    <s v="Card"/>
  </r>
  <r>
    <s v="ORD0095"/>
    <n v="45768"/>
    <s v="CUST1931"/>
    <x v="94"/>
    <s v="Kisumu"/>
    <x v="0"/>
    <s v="MacBook Air"/>
    <n v="1"/>
    <n v="93197"/>
    <n v="93197"/>
    <s v="Cash"/>
  </r>
  <r>
    <s v="ORD0096"/>
    <n v="45649"/>
    <s v="CUST6865"/>
    <x v="95"/>
    <s v="Mombasa"/>
    <x v="0"/>
    <s v="Lenovo ThinkPad"/>
    <n v="1"/>
    <n v="12770"/>
    <n v="12770"/>
    <s v="Cash"/>
  </r>
  <r>
    <s v="ORD0097"/>
    <n v="45841"/>
    <s v="CUST1402"/>
    <x v="96"/>
    <s v="Mombasa"/>
    <x v="0"/>
    <s v="MacBook Air"/>
    <n v="5"/>
    <n v="118062"/>
    <n v="590310"/>
    <s v="Online Transfer"/>
  </r>
  <r>
    <s v="ORD0098"/>
    <n v="45798"/>
    <s v="CUST9843"/>
    <x v="97"/>
    <s v="Nairobi"/>
    <x v="0"/>
    <s v="HP Pavilion"/>
    <n v="4"/>
    <n v="15819"/>
    <n v="63276"/>
    <s v="Online Transfer"/>
  </r>
  <r>
    <s v="ORD0099"/>
    <n v="45679"/>
    <s v="CUST8079"/>
    <x v="98"/>
    <s v="Nairobi"/>
    <x v="0"/>
    <s v="HP Pavilion"/>
    <n v="1"/>
    <n v="17994"/>
    <n v="17994"/>
    <s v="Card"/>
  </r>
  <r>
    <s v="ORD0100"/>
    <n v="45726"/>
    <s v="CUST5011"/>
    <x v="99"/>
    <s v="Mombasa"/>
    <x v="2"/>
    <s v="Huawei P30"/>
    <n v="5"/>
    <n v="23625"/>
    <n v="118125"/>
    <s v="M-Pesa"/>
  </r>
  <r>
    <s v="ORD0101"/>
    <n v="45647"/>
    <s v="CUST8302"/>
    <x v="100"/>
    <s v="Kisumu"/>
    <x v="3"/>
    <s v="Wireless Mouse"/>
    <n v="2"/>
    <n v="4664"/>
    <n v="9328"/>
    <s v="M-Pesa"/>
  </r>
  <r>
    <s v="ORD0102"/>
    <n v="45900"/>
    <s v="CUST7674"/>
    <x v="101"/>
    <s v="Kisumu"/>
    <x v="2"/>
    <s v="iPhone 13"/>
    <n v="5"/>
    <n v="9598"/>
    <n v="47990"/>
    <s v="Card"/>
  </r>
  <r>
    <s v="ORD0103"/>
    <n v="45665"/>
    <s v="CUST3998"/>
    <x v="102"/>
    <s v="Nairobi"/>
    <x v="3"/>
    <s v="Wireless Mouse"/>
    <n v="2"/>
    <n v="3379"/>
    <n v="6758"/>
    <s v="Card"/>
  </r>
  <r>
    <s v="ORD0104"/>
    <n v="45679"/>
    <s v="CUST3288"/>
    <x v="103"/>
    <s v="Nairobi"/>
    <x v="3"/>
    <s v="Keyboard"/>
    <n v="5"/>
    <n v="1061"/>
    <n v="5305"/>
    <s v="Cash"/>
  </r>
  <r>
    <s v="ORD0105"/>
    <n v="45788"/>
    <s v="CUST5563"/>
    <x v="104"/>
    <s v="Kisumu"/>
    <x v="2"/>
    <s v="iPhone 13"/>
    <n v="4"/>
    <n v="73497"/>
    <n v="293988"/>
    <s v="Card"/>
  </r>
  <r>
    <s v="ORD0106"/>
    <n v="45894"/>
    <s v="CUST2934"/>
    <x v="105"/>
    <s v="Mombasa"/>
    <x v="2"/>
    <s v="Samsung Galaxy S21"/>
    <n v="3"/>
    <n v="43179"/>
    <n v="129537"/>
    <s v="Card"/>
  </r>
  <r>
    <s v="ORD0107"/>
    <n v="45613"/>
    <s v="CUST6036"/>
    <x v="106"/>
    <s v="Kisumu"/>
    <x v="3"/>
    <s v="Wireless Mouse"/>
    <n v="4"/>
    <n v="3387"/>
    <n v="13548"/>
    <s v="Card"/>
  </r>
  <r>
    <s v="ORD0108"/>
    <n v="45880"/>
    <s v="CUST6622"/>
    <x v="107"/>
    <s v="Mombasa"/>
    <x v="2"/>
    <s v="Samsung Galaxy S21"/>
    <n v="3"/>
    <n v="12220"/>
    <n v="36660"/>
    <s v="M-Pesa"/>
  </r>
  <r>
    <s v="ORD0109"/>
    <n v="45757"/>
    <s v="CUST8438"/>
    <x v="108"/>
    <s v="Eldoret"/>
    <x v="3"/>
    <s v="Headphones"/>
    <n v="3"/>
    <n v="3348"/>
    <n v="10044"/>
    <s v="M-Pesa"/>
  </r>
  <r>
    <s v="ORD0110"/>
    <n v="45804"/>
    <s v="CUST6082"/>
    <x v="109"/>
    <s v="Kisumu"/>
    <x v="0"/>
    <s v="Lenovo ThinkPad"/>
    <n v="2"/>
    <n v="58757"/>
    <n v="117514"/>
    <s v="Online Transfer"/>
  </r>
  <r>
    <s v="ORD0111"/>
    <n v="45722"/>
    <s v="CUST3875"/>
    <x v="110"/>
    <s v="Eldoret"/>
    <x v="2"/>
    <s v="Tecno Spark"/>
    <n v="4"/>
    <n v="32247"/>
    <n v="128988"/>
    <s v="Online Transfer"/>
  </r>
  <r>
    <s v="ORD0112"/>
    <n v="45901"/>
    <s v="CUST1362"/>
    <x v="111"/>
    <s v="Eldoret"/>
    <x v="2"/>
    <s v="Samsung Galaxy S21"/>
    <n v="2"/>
    <n v="65205"/>
    <n v="130410"/>
    <s v="Cash"/>
  </r>
  <r>
    <s v="ORD0113"/>
    <n v="45782"/>
    <s v="CUST3271"/>
    <x v="112"/>
    <s v="Nairobi"/>
    <x v="1"/>
    <s v="Lenovo Tab"/>
    <n v="2"/>
    <n v="24033"/>
    <n v="48066"/>
    <s v="Cash"/>
  </r>
  <r>
    <s v="ORD0114"/>
    <n v="45881"/>
    <s v="CUST8953"/>
    <x v="113"/>
    <s v="Kisumu"/>
    <x v="3"/>
    <s v="Keyboard"/>
    <n v="2"/>
    <n v="2180"/>
    <n v="4360"/>
    <s v="Cash"/>
  </r>
  <r>
    <s v="ORD0115"/>
    <n v="45585"/>
    <s v="CUST1320"/>
    <x v="114"/>
    <s v="Nairobi"/>
    <x v="1"/>
    <s v="Lenovo Tab"/>
    <n v="2"/>
    <n v="11617"/>
    <n v="23234"/>
    <s v="Cash"/>
  </r>
  <r>
    <s v="ORD0116"/>
    <n v="45892"/>
    <s v="CUST1170"/>
    <x v="115"/>
    <s v="Eldoret"/>
    <x v="1"/>
    <s v="Amazon Fire"/>
    <n v="5"/>
    <n v="55781"/>
    <n v="278905"/>
    <s v="M-Pesa"/>
  </r>
  <r>
    <s v="ORD0117"/>
    <n v="45813"/>
    <s v="CUST3033"/>
    <x v="116"/>
    <s v="Mombasa"/>
    <x v="0"/>
    <s v="HP Pavilion"/>
    <n v="3"/>
    <n v="103218"/>
    <n v="309654"/>
    <s v="Online Transfer"/>
  </r>
  <r>
    <s v="ORD0118"/>
    <n v="45777"/>
    <s v="CUST3528"/>
    <x v="117"/>
    <s v="Kisumu"/>
    <x v="3"/>
    <s v="Charger"/>
    <n v="4"/>
    <n v="3019"/>
    <n v="12076"/>
    <s v="Card"/>
  </r>
  <r>
    <s v="ORD0119"/>
    <n v="45743"/>
    <s v="CUST1817"/>
    <x v="118"/>
    <s v="Mombasa"/>
    <x v="0"/>
    <s v="MacBook Air"/>
    <n v="5"/>
    <n v="10240"/>
    <n v="51200"/>
    <s v="M-Pesa"/>
  </r>
  <r>
    <s v="ORD0120"/>
    <n v="45914"/>
    <s v="CUST5445"/>
    <x v="119"/>
    <s v="Kisumu"/>
    <x v="2"/>
    <s v="iPhone 13"/>
    <n v="1"/>
    <n v="55229"/>
    <n v="55229"/>
    <s v="M-Pesa"/>
  </r>
  <r>
    <s v="ORD0121"/>
    <n v="45813"/>
    <s v="CUST5838"/>
    <x v="120"/>
    <s v="Nairobi"/>
    <x v="2"/>
    <s v="iPhone 13"/>
    <n v="5"/>
    <n v="42886"/>
    <n v="214430"/>
    <s v="Cash"/>
  </r>
  <r>
    <s v="ORD0122"/>
    <n v="45653"/>
    <s v="CUST9444"/>
    <x v="121"/>
    <s v="Mombasa"/>
    <x v="3"/>
    <s v="Wireless Mouse"/>
    <n v="3"/>
    <n v="513"/>
    <n v="1539"/>
    <s v="Card"/>
  </r>
  <r>
    <s v="ORD0123"/>
    <n v="45916"/>
    <s v="CUST8572"/>
    <x v="122"/>
    <s v="Kisumu"/>
    <x v="2"/>
    <s v="Tecno Spark"/>
    <n v="5"/>
    <n v="83511"/>
    <n v="417555"/>
    <s v="Card"/>
  </r>
  <r>
    <s v="ORD0124"/>
    <n v="45684"/>
    <s v="CUST1996"/>
    <x v="123"/>
    <s v="Nairobi"/>
    <x v="2"/>
    <s v="Samsung Galaxy S21"/>
    <n v="5"/>
    <n v="36394"/>
    <n v="181970"/>
    <s v="Online Transfer"/>
  </r>
  <r>
    <s v="ORD0125"/>
    <n v="45586"/>
    <s v="CUST1135"/>
    <x v="124"/>
    <s v="Nairobi"/>
    <x v="1"/>
    <s v="iPad Pro"/>
    <n v="1"/>
    <n v="52583"/>
    <n v="52583"/>
    <s v="Cash"/>
  </r>
  <r>
    <s v="ORD0126"/>
    <n v="45758"/>
    <s v="CUST4419"/>
    <x v="125"/>
    <s v="Eldoret"/>
    <x v="2"/>
    <s v="Samsung Galaxy S21"/>
    <n v="4"/>
    <n v="63127"/>
    <n v="252508"/>
    <s v="Cash"/>
  </r>
  <r>
    <s v="ORD0127"/>
    <n v="45768"/>
    <s v="CUST7773"/>
    <x v="126"/>
    <s v="Mombasa"/>
    <x v="3"/>
    <s v="Headphones"/>
    <n v="5"/>
    <n v="3899"/>
    <n v="19495"/>
    <s v="Card"/>
  </r>
  <r>
    <s v="ORD0128"/>
    <n v="45819"/>
    <s v="CUST7851"/>
    <x v="127"/>
    <s v="Nairobi"/>
    <x v="1"/>
    <s v="iPad Pro"/>
    <n v="2"/>
    <n v="48498"/>
    <n v="96996"/>
    <s v="Cash"/>
  </r>
  <r>
    <s v="ORD0129"/>
    <n v="45786"/>
    <s v="CUST6572"/>
    <x v="128"/>
    <s v="Mombasa"/>
    <x v="1"/>
    <s v="Lenovo Tab"/>
    <n v="1"/>
    <n v="71332"/>
    <n v="71332"/>
    <s v="Card"/>
  </r>
  <r>
    <s v="ORD0130"/>
    <n v="45857"/>
    <s v="CUST1354"/>
    <x v="129"/>
    <s v="Nairobi"/>
    <x v="1"/>
    <s v="Lenovo Tab"/>
    <n v="3"/>
    <n v="51005"/>
    <n v="153015"/>
    <s v="Card"/>
  </r>
  <r>
    <s v="ORD0131"/>
    <n v="45564"/>
    <s v="CUST2454"/>
    <x v="130"/>
    <s v="Eldoret"/>
    <x v="1"/>
    <s v="Amazon Fire"/>
    <n v="3"/>
    <n v="52362"/>
    <n v="157086"/>
    <s v="Card"/>
  </r>
  <r>
    <s v="ORD0132"/>
    <n v="45772"/>
    <s v="CUST9739"/>
    <x v="131"/>
    <s v="Kisumu"/>
    <x v="1"/>
    <s v="Amazon Fire"/>
    <n v="5"/>
    <n v="54827"/>
    <n v="274135"/>
    <s v="Cash"/>
  </r>
  <r>
    <s v="ORD0133"/>
    <n v="45617"/>
    <s v="CUST9325"/>
    <x v="132"/>
    <s v="Kisumu"/>
    <x v="3"/>
    <s v="Charger"/>
    <n v="2"/>
    <n v="2688"/>
    <n v="5376"/>
    <s v="Online Transfer"/>
  </r>
  <r>
    <s v="ORD0134"/>
    <n v="45611"/>
    <s v="CUST3818"/>
    <x v="133"/>
    <s v="Eldoret"/>
    <x v="0"/>
    <s v="HP Pavilion"/>
    <n v="3"/>
    <n v="123502"/>
    <n v="370506"/>
    <s v="M-Pesa"/>
  </r>
  <r>
    <s v="ORD0135"/>
    <n v="45654"/>
    <s v="CUST1151"/>
    <x v="134"/>
    <s v="Eldoret"/>
    <x v="2"/>
    <s v="Samsung Galaxy S21"/>
    <n v="2"/>
    <n v="20665"/>
    <n v="41330"/>
    <s v="Online Transfer"/>
  </r>
  <r>
    <s v="ORD0136"/>
    <n v="45560"/>
    <s v="CUST9861"/>
    <x v="135"/>
    <s v="Eldoret"/>
    <x v="0"/>
    <s v="HP Pavilion"/>
    <n v="4"/>
    <n v="43636"/>
    <n v="174544"/>
    <s v="Online Transfer"/>
  </r>
  <r>
    <s v="ORD0137"/>
    <n v="45817"/>
    <s v="CUST8636"/>
    <x v="136"/>
    <s v="Mombasa"/>
    <x v="3"/>
    <s v="Keyboard"/>
    <n v="1"/>
    <n v="3837"/>
    <n v="3837"/>
    <s v="Online Transfer"/>
  </r>
  <r>
    <s v="ORD0138"/>
    <n v="45566"/>
    <s v="CUST3551"/>
    <x v="137"/>
    <s v="Nairobi"/>
    <x v="1"/>
    <s v="Amazon Fire"/>
    <n v="1"/>
    <n v="16680"/>
    <n v="16680"/>
    <s v="M-Pesa"/>
  </r>
  <r>
    <s v="ORD0139"/>
    <n v="45780"/>
    <s v="CUST1924"/>
    <x v="138"/>
    <s v="Nairobi"/>
    <x v="3"/>
    <s v="Charger"/>
    <n v="5"/>
    <n v="2554"/>
    <n v="12770"/>
    <s v="M-Pesa"/>
  </r>
  <r>
    <s v="ORD0140"/>
    <n v="45607"/>
    <s v="CUST1307"/>
    <x v="139"/>
    <s v="Kisumu"/>
    <x v="2"/>
    <s v="Tecno Spark"/>
    <n v="5"/>
    <n v="72445"/>
    <n v="362225"/>
    <s v="Online Transfer"/>
  </r>
  <r>
    <s v="ORD0141"/>
    <n v="45751"/>
    <s v="CUST4546"/>
    <x v="140"/>
    <s v="Mombasa"/>
    <x v="2"/>
    <s v="iPhone 13"/>
    <n v="5"/>
    <n v="25914"/>
    <n v="129570"/>
    <s v="Card"/>
  </r>
  <r>
    <s v="ORD0142"/>
    <n v="45816"/>
    <s v="CUST5251"/>
    <x v="141"/>
    <s v="Kisumu"/>
    <x v="0"/>
    <s v="MacBook Air"/>
    <n v="1"/>
    <n v="133269"/>
    <n v="133269"/>
    <s v="Cash"/>
  </r>
  <r>
    <s v="ORD0143"/>
    <n v="45787"/>
    <s v="CUST9625"/>
    <x v="142"/>
    <s v="Kisumu"/>
    <x v="2"/>
    <s v="Huawei P30"/>
    <n v="5"/>
    <n v="66123"/>
    <n v="330615"/>
    <s v="Cash"/>
  </r>
  <r>
    <s v="ORD0144"/>
    <n v="45857"/>
    <s v="CUST8387"/>
    <x v="143"/>
    <s v="Kisumu"/>
    <x v="3"/>
    <s v="Headphones"/>
    <n v="1"/>
    <n v="3417"/>
    <n v="3417"/>
    <s v="M-Pesa"/>
  </r>
  <r>
    <s v="ORD0145"/>
    <n v="45577"/>
    <s v="CUST6736"/>
    <x v="144"/>
    <s v="Mombasa"/>
    <x v="3"/>
    <s v="Keyboard"/>
    <n v="1"/>
    <n v="1167"/>
    <n v="1167"/>
    <s v="M-Pesa"/>
  </r>
  <r>
    <s v="ORD0146"/>
    <n v="45680"/>
    <s v="CUST5413"/>
    <x v="145"/>
    <s v="Kisumu"/>
    <x v="0"/>
    <s v="Dell Inspiron"/>
    <n v="2"/>
    <n v="26898"/>
    <n v="53796"/>
    <s v="Card"/>
  </r>
  <r>
    <s v="ORD0147"/>
    <n v="45780"/>
    <s v="CUST6343"/>
    <x v="146"/>
    <s v="Kisumu"/>
    <x v="0"/>
    <s v="HP Pavilion"/>
    <n v="5"/>
    <n v="18709"/>
    <n v="93545"/>
    <s v="Online Transfer"/>
  </r>
  <r>
    <s v="ORD0148"/>
    <n v="45601"/>
    <s v="CUST7484"/>
    <x v="147"/>
    <s v="Nairobi"/>
    <x v="0"/>
    <s v="Dell Inspiron"/>
    <n v="2"/>
    <n v="145956"/>
    <n v="291912"/>
    <s v="Cash"/>
  </r>
  <r>
    <s v="ORD0149"/>
    <n v="45768"/>
    <s v="CUST3785"/>
    <x v="148"/>
    <s v="Kisumu"/>
    <x v="0"/>
    <s v="Lenovo ThinkPad"/>
    <n v="2"/>
    <n v="119981"/>
    <n v="239962"/>
    <s v="Card"/>
  </r>
  <r>
    <s v="ORD0150"/>
    <n v="45875"/>
    <s v="CUST2265"/>
    <x v="149"/>
    <s v="Nairobi"/>
    <x v="3"/>
    <s v="Keyboard"/>
    <n v="1"/>
    <n v="2992"/>
    <n v="2992"/>
    <s v="Card"/>
  </r>
  <r>
    <s v="ORD0151"/>
    <n v="45803"/>
    <s v="CUST4158"/>
    <x v="150"/>
    <s v="Mombasa"/>
    <x v="2"/>
    <s v="Samsung Galaxy S21"/>
    <n v="4"/>
    <n v="61301"/>
    <n v="245204"/>
    <s v="Card"/>
  </r>
  <r>
    <s v="ORD0152"/>
    <n v="45680"/>
    <s v="CUST7578"/>
    <x v="151"/>
    <s v="Mombasa"/>
    <x v="0"/>
    <s v="MacBook Air"/>
    <n v="4"/>
    <n v="143673"/>
    <n v="574692"/>
    <s v="Card"/>
  </r>
  <r>
    <s v="ORD0153"/>
    <n v="45657"/>
    <s v="CUST8135"/>
    <x v="152"/>
    <s v="Mombasa"/>
    <x v="0"/>
    <s v="Lenovo ThinkPad"/>
    <n v="1"/>
    <n v="47226"/>
    <n v="47226"/>
    <s v="M-Pesa"/>
  </r>
  <r>
    <s v="ORD0154"/>
    <n v="45694"/>
    <s v="CUST8406"/>
    <x v="153"/>
    <s v="Nairobi"/>
    <x v="1"/>
    <s v="Lenovo Tab"/>
    <n v="4"/>
    <n v="43254"/>
    <n v="173016"/>
    <s v="Card"/>
  </r>
  <r>
    <s v="ORD0155"/>
    <n v="45561"/>
    <s v="CUST4592"/>
    <x v="154"/>
    <s v="Eldoret"/>
    <x v="3"/>
    <s v="Headphones"/>
    <n v="1"/>
    <n v="3621"/>
    <n v="3621"/>
    <s v="Cash"/>
  </r>
  <r>
    <s v="ORD0156"/>
    <n v="45682"/>
    <s v="CUST2672"/>
    <x v="155"/>
    <s v="Mombasa"/>
    <x v="0"/>
    <s v="Dell Inspiron"/>
    <n v="2"/>
    <n v="69152"/>
    <n v="138304"/>
    <s v="Card"/>
  </r>
  <r>
    <s v="ORD0157"/>
    <n v="45832"/>
    <s v="CUST1578"/>
    <x v="156"/>
    <s v="Eldoret"/>
    <x v="1"/>
    <s v="Amazon Fire"/>
    <n v="3"/>
    <n v="18314"/>
    <n v="54942"/>
    <s v="Card"/>
  </r>
  <r>
    <s v="ORD0158"/>
    <n v="45607"/>
    <s v="CUST1282"/>
    <x v="157"/>
    <s v="Mombasa"/>
    <x v="3"/>
    <s v="Wireless Mouse"/>
    <n v="1"/>
    <n v="4364"/>
    <n v="4364"/>
    <s v="Card"/>
  </r>
  <r>
    <s v="ORD0159"/>
    <n v="45856"/>
    <s v="CUST9071"/>
    <x v="158"/>
    <s v="Nairobi"/>
    <x v="3"/>
    <s v="Headphones"/>
    <n v="3"/>
    <n v="2103"/>
    <n v="6309"/>
    <s v="M-Pesa"/>
  </r>
  <r>
    <s v="ORD0160"/>
    <n v="45848"/>
    <s v="CUST4048"/>
    <x v="159"/>
    <s v="Kisumu"/>
    <x v="2"/>
    <s v="Huawei P30"/>
    <n v="1"/>
    <n v="57021"/>
    <n v="57021"/>
    <s v="Online Transfer"/>
  </r>
  <r>
    <s v="ORD0161"/>
    <n v="45556"/>
    <s v="CUST4768"/>
    <x v="160"/>
    <s v="Eldoret"/>
    <x v="3"/>
    <s v="Headphones"/>
    <n v="1"/>
    <n v="2726"/>
    <n v="2726"/>
    <s v="M-Pesa"/>
  </r>
  <r>
    <s v="ORD0162"/>
    <n v="45581"/>
    <s v="CUST6027"/>
    <x v="161"/>
    <s v="Nairobi"/>
    <x v="1"/>
    <s v="Lenovo Tab"/>
    <n v="1"/>
    <n v="79166"/>
    <n v="79166"/>
    <s v="Card"/>
  </r>
  <r>
    <s v="ORD0163"/>
    <n v="45677"/>
    <s v="CUST2635"/>
    <x v="162"/>
    <s v="Mombasa"/>
    <x v="0"/>
    <s v="Lenovo ThinkPad"/>
    <n v="3"/>
    <n v="131870"/>
    <n v="395610"/>
    <s v="Cash"/>
  </r>
  <r>
    <s v="ORD0164"/>
    <n v="45763"/>
    <s v="CUST4433"/>
    <x v="163"/>
    <s v="Nairobi"/>
    <x v="0"/>
    <s v="Dell Inspiron"/>
    <n v="2"/>
    <n v="143284"/>
    <n v="286568"/>
    <s v="Card"/>
  </r>
  <r>
    <s v="ORD0165"/>
    <n v="45817"/>
    <s v="CUST5837"/>
    <x v="164"/>
    <s v="Kisumu"/>
    <x v="2"/>
    <s v="Tecno Spark"/>
    <n v="2"/>
    <n v="64523"/>
    <n v="129046"/>
    <s v="Online Transfer"/>
  </r>
  <r>
    <s v="ORD0166"/>
    <n v="45611"/>
    <s v="CUST3115"/>
    <x v="165"/>
    <s v="Eldoret"/>
    <x v="2"/>
    <s v="Tecno Spark"/>
    <n v="5"/>
    <n v="91603"/>
    <n v="458015"/>
    <s v="Card"/>
  </r>
  <r>
    <s v="ORD0167"/>
    <n v="45706"/>
    <s v="CUST2061"/>
    <x v="166"/>
    <s v="Kisumu"/>
    <x v="0"/>
    <s v="Lenovo ThinkPad"/>
    <n v="4"/>
    <n v="104067"/>
    <n v="416268"/>
    <s v="M-Pesa"/>
  </r>
  <r>
    <s v="ORD0168"/>
    <n v="45629"/>
    <s v="CUST7448"/>
    <x v="167"/>
    <s v="Eldoret"/>
    <x v="0"/>
    <s v="MacBook Air"/>
    <n v="5"/>
    <n v="86285"/>
    <n v="431425"/>
    <s v="Cash"/>
  </r>
  <r>
    <s v="ORD0169"/>
    <n v="45845"/>
    <s v="CUST8894"/>
    <x v="168"/>
    <s v="Kisumu"/>
    <x v="3"/>
    <s v="Headphones"/>
    <n v="1"/>
    <n v="1719"/>
    <n v="1719"/>
    <s v="Card"/>
  </r>
  <r>
    <s v="ORD0170"/>
    <n v="45694"/>
    <s v="CUST6226"/>
    <x v="169"/>
    <s v="Mombasa"/>
    <x v="1"/>
    <s v="Samsung Galaxy Tab"/>
    <n v="5"/>
    <n v="54404"/>
    <n v="272020"/>
    <s v="M-Pesa"/>
  </r>
  <r>
    <s v="ORD0171"/>
    <n v="45607"/>
    <s v="CUST7836"/>
    <x v="170"/>
    <s v="Mombasa"/>
    <x v="1"/>
    <s v="Samsung Galaxy Tab"/>
    <n v="5"/>
    <n v="64595"/>
    <n v="322975"/>
    <s v="M-Pesa"/>
  </r>
  <r>
    <s v="ORD0172"/>
    <n v="45799"/>
    <s v="CUST5933"/>
    <x v="171"/>
    <s v="Eldoret"/>
    <x v="1"/>
    <s v="Lenovo Tab"/>
    <n v="2"/>
    <n v="36451"/>
    <n v="72902"/>
    <s v="Card"/>
  </r>
  <r>
    <s v="ORD0173"/>
    <n v="45628"/>
    <s v="CUST3198"/>
    <x v="172"/>
    <s v="Nairobi"/>
    <x v="2"/>
    <s v="Samsung Galaxy S21"/>
    <n v="3"/>
    <n v="50900"/>
    <n v="152700"/>
    <s v="Cash"/>
  </r>
  <r>
    <s v="ORD0174"/>
    <n v="45842"/>
    <s v="CUST6191"/>
    <x v="173"/>
    <s v="Mombasa"/>
    <x v="3"/>
    <s v="Headphones"/>
    <n v="1"/>
    <n v="3891"/>
    <n v="3891"/>
    <s v="Cash"/>
  </r>
  <r>
    <s v="ORD0175"/>
    <n v="45845"/>
    <s v="CUST1933"/>
    <x v="174"/>
    <s v="Eldoret"/>
    <x v="0"/>
    <s v="Lenovo ThinkPad"/>
    <n v="4"/>
    <n v="12973"/>
    <n v="51892"/>
    <s v="M-Pesa"/>
  </r>
  <r>
    <s v="ORD0176"/>
    <n v="45625"/>
    <s v="CUST7735"/>
    <x v="175"/>
    <s v="Nairobi"/>
    <x v="3"/>
    <s v="Keyboard"/>
    <n v="5"/>
    <n v="560"/>
    <n v="2800"/>
    <s v="Online Transfer"/>
  </r>
  <r>
    <s v="ORD0177"/>
    <n v="45732"/>
    <s v="CUST1632"/>
    <x v="176"/>
    <s v="Mombasa"/>
    <x v="0"/>
    <s v="MacBook Air"/>
    <n v="5"/>
    <n v="95918"/>
    <n v="479590"/>
    <s v="Cash"/>
  </r>
  <r>
    <s v="ORD0178"/>
    <n v="45906"/>
    <s v="CUST8016"/>
    <x v="177"/>
    <s v="Mombasa"/>
    <x v="3"/>
    <s v="Headphones"/>
    <n v="1"/>
    <n v="799"/>
    <n v="799"/>
    <s v="Cash"/>
  </r>
  <r>
    <s v="ORD0179"/>
    <n v="45908"/>
    <s v="CUST4909"/>
    <x v="178"/>
    <s v="Kisumu"/>
    <x v="1"/>
    <s v="Amazon Fire"/>
    <n v="3"/>
    <n v="72077"/>
    <n v="216231"/>
    <s v="Cash"/>
  </r>
  <r>
    <s v="ORD0180"/>
    <n v="45913"/>
    <s v="CUST7274"/>
    <x v="179"/>
    <s v="Kisumu"/>
    <x v="3"/>
    <s v="Charger"/>
    <n v="2"/>
    <n v="2276"/>
    <n v="4552"/>
    <s v="Online Transfer"/>
  </r>
  <r>
    <s v="ORD0181"/>
    <n v="45653"/>
    <s v="CUST3035"/>
    <x v="180"/>
    <s v="Eldoret"/>
    <x v="3"/>
    <s v="Wireless Mouse"/>
    <n v="5"/>
    <n v="514"/>
    <n v="2570"/>
    <s v="Card"/>
  </r>
  <r>
    <s v="ORD0182"/>
    <n v="45687"/>
    <s v="CUST4580"/>
    <x v="181"/>
    <s v="Kisumu"/>
    <x v="3"/>
    <s v="Keyboard"/>
    <n v="3"/>
    <n v="2007"/>
    <n v="6021"/>
    <s v="M-Pesa"/>
  </r>
  <r>
    <s v="ORD0183"/>
    <n v="45619"/>
    <s v="CUST4246"/>
    <x v="182"/>
    <s v="Nairobi"/>
    <x v="0"/>
    <s v="MacBook Air"/>
    <n v="2"/>
    <n v="96545"/>
    <n v="193090"/>
    <s v="Card"/>
  </r>
  <r>
    <s v="ORD0184"/>
    <n v="45722"/>
    <s v="CUST1391"/>
    <x v="183"/>
    <s v="Kisumu"/>
    <x v="0"/>
    <s v="Dell Inspiron"/>
    <n v="4"/>
    <n v="36845"/>
    <n v="147380"/>
    <s v="Online Transfer"/>
  </r>
  <r>
    <s v="ORD0185"/>
    <n v="45685"/>
    <s v="CUST1193"/>
    <x v="184"/>
    <s v="Eldoret"/>
    <x v="3"/>
    <s v="Headphones"/>
    <n v="2"/>
    <n v="2533"/>
    <n v="5066"/>
    <s v="Card"/>
  </r>
  <r>
    <s v="ORD0186"/>
    <n v="45653"/>
    <s v="CUST7521"/>
    <x v="185"/>
    <s v="Nairobi"/>
    <x v="1"/>
    <s v="Lenovo Tab"/>
    <n v="5"/>
    <n v="18779"/>
    <n v="93895"/>
    <s v="Card"/>
  </r>
  <r>
    <s v="ORD0187"/>
    <n v="45777"/>
    <s v="CUST2306"/>
    <x v="186"/>
    <s v="Kisumu"/>
    <x v="0"/>
    <s v="Dell Inspiron"/>
    <n v="4"/>
    <n v="19790"/>
    <n v="79160"/>
    <s v="M-Pesa"/>
  </r>
  <r>
    <s v="ORD0188"/>
    <n v="45908"/>
    <s v="CUST7765"/>
    <x v="187"/>
    <s v="Kisumu"/>
    <x v="0"/>
    <s v="MacBook Air"/>
    <n v="3"/>
    <n v="113620"/>
    <n v="340860"/>
    <s v="Card"/>
  </r>
  <r>
    <s v="ORD0189"/>
    <n v="45623"/>
    <s v="CUST1487"/>
    <x v="188"/>
    <s v="Mombasa"/>
    <x v="1"/>
    <s v="Amazon Fire"/>
    <n v="5"/>
    <n v="68082"/>
    <n v="340410"/>
    <s v="Online Transfer"/>
  </r>
  <r>
    <s v="ORD0190"/>
    <n v="45821"/>
    <s v="CUST9813"/>
    <x v="189"/>
    <s v="Nairobi"/>
    <x v="1"/>
    <s v="iPad Pro"/>
    <n v="4"/>
    <n v="29059"/>
    <n v="116236"/>
    <s v="Online Transfer"/>
  </r>
  <r>
    <s v="ORD0191"/>
    <n v="45814"/>
    <s v="CUST3740"/>
    <x v="190"/>
    <s v="Mombasa"/>
    <x v="1"/>
    <s v="iPad Pro"/>
    <n v="5"/>
    <n v="23897"/>
    <n v="119485"/>
    <s v="M-Pesa"/>
  </r>
  <r>
    <s v="ORD0192"/>
    <n v="45870"/>
    <s v="CUST1236"/>
    <x v="191"/>
    <s v="Mombasa"/>
    <x v="1"/>
    <s v="Samsung Galaxy Tab"/>
    <n v="2"/>
    <n v="28906"/>
    <n v="57812"/>
    <s v="Cash"/>
  </r>
  <r>
    <s v="ORD0193"/>
    <n v="45849"/>
    <s v="CUST7292"/>
    <x v="192"/>
    <s v="Mombasa"/>
    <x v="2"/>
    <s v="iPhone 13"/>
    <n v="4"/>
    <n v="89057"/>
    <n v="356228"/>
    <s v="Card"/>
  </r>
  <r>
    <s v="ORD0194"/>
    <n v="45788"/>
    <s v="CUST9638"/>
    <x v="193"/>
    <s v="Eldoret"/>
    <x v="1"/>
    <s v="Amazon Fire"/>
    <n v="5"/>
    <n v="52872"/>
    <n v="264360"/>
    <s v="M-Pesa"/>
  </r>
  <r>
    <s v="ORD0195"/>
    <n v="45737"/>
    <s v="CUST1404"/>
    <x v="194"/>
    <s v="Kisumu"/>
    <x v="1"/>
    <s v="Lenovo Tab"/>
    <n v="3"/>
    <n v="73270"/>
    <n v="219810"/>
    <s v="Online Transfer"/>
  </r>
  <r>
    <s v="ORD0196"/>
    <n v="45852"/>
    <s v="CUST5453"/>
    <x v="195"/>
    <s v="Nairobi"/>
    <x v="2"/>
    <s v="Tecno Spark"/>
    <n v="5"/>
    <n v="47701"/>
    <n v="238505"/>
    <s v="Online Transfer"/>
  </r>
  <r>
    <s v="ORD0197"/>
    <n v="45823"/>
    <s v="CUST1115"/>
    <x v="196"/>
    <s v="Nairobi"/>
    <x v="2"/>
    <s v="Tecno Spark"/>
    <n v="5"/>
    <n v="38264"/>
    <n v="191320"/>
    <s v="M-Pesa"/>
  </r>
  <r>
    <s v="ORD0198"/>
    <n v="45803"/>
    <s v="CUST3852"/>
    <x v="197"/>
    <s v="Kisumu"/>
    <x v="0"/>
    <s v="Lenovo ThinkPad"/>
    <n v="5"/>
    <n v="84828"/>
    <n v="424140"/>
    <s v="Online Transfer"/>
  </r>
  <r>
    <s v="ORD0199"/>
    <n v="45615"/>
    <s v="CUST7877"/>
    <x v="198"/>
    <s v="Nairobi"/>
    <x v="3"/>
    <s v="Charger"/>
    <n v="2"/>
    <n v="1635"/>
    <n v="3270"/>
    <s v="Card"/>
  </r>
  <r>
    <s v="ORD0200"/>
    <n v="45778"/>
    <s v="CUST2520"/>
    <x v="199"/>
    <s v="Nairobi"/>
    <x v="1"/>
    <s v="Lenovo Tab"/>
    <n v="4"/>
    <n v="72467"/>
    <n v="289868"/>
    <s v="M-Pe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7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1">
  <location ref="A3:B8" firstHeaderRow="1" firstDataRow="1" firstDataCol="1"/>
  <pivotFields count="11">
    <pivotField showAll="0">
      <items count="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showAll="0"/>
    <pivotField showAll="0"/>
    <pivotField showAll="0"/>
    <pivotField axis="axisRow" showAll="0">
      <items count="6">
        <item x="2"/>
        <item x="0"/>
        <item x="3"/>
        <item x="1"/>
        <item h="1" x="4"/>
        <item t="default"/>
      </items>
    </pivotField>
    <pivotField showAll="0"/>
    <pivotField showAll="0"/>
    <pivotField showAll="0"/>
    <pivotField showAll="0"/>
    <pivotField dataField="1" showAll="0">
      <items count="201">
        <item x="176"/>
        <item x="91"/>
        <item x="143"/>
        <item x="55"/>
        <item x="121"/>
        <item x="167"/>
        <item x="75"/>
        <item x="58"/>
        <item x="62"/>
        <item x="44"/>
        <item x="179"/>
        <item x="159"/>
        <item x="35"/>
        <item x="174"/>
        <item x="148"/>
        <item x="41"/>
        <item x="7"/>
        <item x="197"/>
        <item x="142"/>
        <item x="153"/>
        <item x="136"/>
        <item x="172"/>
        <item x="70"/>
        <item x="113"/>
        <item x="156"/>
        <item x="16"/>
        <item x="31"/>
        <item x="178"/>
        <item x="49"/>
        <item x="92"/>
        <item x="46"/>
        <item x="11"/>
        <item x="183"/>
        <item x="103"/>
        <item x="132"/>
        <item x="180"/>
        <item x="87"/>
        <item x="157"/>
        <item x="102"/>
        <item x="40"/>
        <item x="6"/>
        <item x="21"/>
        <item x="48"/>
        <item x="77"/>
        <item x="59"/>
        <item x="100"/>
        <item x="108"/>
        <item x="117"/>
        <item x="95"/>
        <item x="43"/>
        <item x="106"/>
        <item x="32"/>
        <item x="82"/>
        <item x="86"/>
        <item x="137"/>
        <item x="61"/>
        <item x="71"/>
        <item x="98"/>
        <item x="126"/>
        <item x="27"/>
        <item x="114"/>
        <item x="17"/>
        <item x="28"/>
        <item x="54"/>
        <item x="50"/>
        <item x="107"/>
        <item x="134"/>
        <item x="8"/>
        <item x="68"/>
        <item x="151"/>
        <item x="101"/>
        <item x="112"/>
        <item x="118"/>
        <item x="19"/>
        <item x="13"/>
        <item x="173"/>
        <item x="42"/>
        <item x="124"/>
        <item x="144"/>
        <item x="155"/>
        <item x="119"/>
        <item x="158"/>
        <item x="190"/>
        <item x="57"/>
        <item x="97"/>
        <item x="53"/>
        <item x="60"/>
        <item x="25"/>
        <item x="128"/>
        <item x="170"/>
        <item x="30"/>
        <item x="185"/>
        <item x="160"/>
        <item x="56"/>
        <item x="83"/>
        <item x="76"/>
        <item x="22"/>
        <item x="51"/>
        <item x="94"/>
        <item x="145"/>
        <item x="47"/>
        <item x="184"/>
        <item x="4"/>
        <item x="127"/>
        <item x="84"/>
        <item x="188"/>
        <item x="109"/>
        <item x="99"/>
        <item x="189"/>
        <item x="67"/>
        <item x="110"/>
        <item x="163"/>
        <item x="105"/>
        <item x="139"/>
        <item x="111"/>
        <item x="140"/>
        <item x="0"/>
        <item x="154"/>
        <item x="182"/>
        <item x="26"/>
        <item x="171"/>
        <item x="129"/>
        <item x="130"/>
        <item x="20"/>
        <item x="10"/>
        <item x="29"/>
        <item x="9"/>
        <item x="79"/>
        <item x="52"/>
        <item x="36"/>
        <item x="152"/>
        <item x="64"/>
        <item x="135"/>
        <item x="123"/>
        <item x="195"/>
        <item x="181"/>
        <item x="2"/>
        <item x="33"/>
        <item x="90"/>
        <item x="38"/>
        <item x="69"/>
        <item x="15"/>
        <item x="39"/>
        <item x="74"/>
        <item x="120"/>
        <item x="66"/>
        <item x="177"/>
        <item x="193"/>
        <item x="72"/>
        <item x="89"/>
        <item x="194"/>
        <item x="147"/>
        <item x="3"/>
        <item x="63"/>
        <item x="149"/>
        <item x="65"/>
        <item x="1"/>
        <item x="125"/>
        <item x="24"/>
        <item x="192"/>
        <item x="168"/>
        <item x="131"/>
        <item x="115"/>
        <item x="162"/>
        <item x="78"/>
        <item x="198"/>
        <item x="146"/>
        <item x="23"/>
        <item x="104"/>
        <item x="5"/>
        <item x="116"/>
        <item x="85"/>
        <item x="14"/>
        <item x="34"/>
        <item x="169"/>
        <item x="141"/>
        <item x="12"/>
        <item x="187"/>
        <item x="186"/>
        <item x="191"/>
        <item x="138"/>
        <item x="133"/>
        <item x="93"/>
        <item x="161"/>
        <item x="18"/>
        <item x="88"/>
        <item x="165"/>
        <item x="122"/>
        <item x="73"/>
        <item x="196"/>
        <item x="166"/>
        <item x="164"/>
        <item x="175"/>
        <item x="81"/>
        <item x="150"/>
        <item x="37"/>
        <item x="96"/>
        <item x="45"/>
        <item x="80"/>
        <item x="199"/>
        <item t="default"/>
      </items>
    </pivotField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2551F-453D-49AA-86C0-A6A09A76AEB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amount" fld="9" baseField="0" baseItem="0"/>
  </dataFields>
  <chartFormats count="5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89BCF-8146-40DE-93D3-551407AB3EB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1">
    <pivotField showAll="0"/>
    <pivotField showAll="0"/>
    <pivotField showAll="0"/>
    <pivotField axis="axisRow" showAll="0" measureFilter="1" sortType="ascending">
      <items count="201">
        <item x="58"/>
        <item x="82"/>
        <item x="114"/>
        <item x="1"/>
        <item x="107"/>
        <item x="59"/>
        <item x="15"/>
        <item x="169"/>
        <item x="154"/>
        <item x="118"/>
        <item x="119"/>
        <item x="185"/>
        <item x="194"/>
        <item x="57"/>
        <item x="143"/>
        <item x="121"/>
        <item x="181"/>
        <item x="144"/>
        <item x="21"/>
        <item x="137"/>
        <item x="186"/>
        <item x="28"/>
        <item x="90"/>
        <item x="42"/>
        <item x="41"/>
        <item x="178"/>
        <item x="100"/>
        <item x="75"/>
        <item x="138"/>
        <item x="60"/>
        <item x="39"/>
        <item x="12"/>
        <item x="70"/>
        <item x="66"/>
        <item x="55"/>
        <item x="183"/>
        <item x="133"/>
        <item x="6"/>
        <item x="19"/>
        <item x="79"/>
        <item x="0"/>
        <item x="158"/>
        <item x="129"/>
        <item x="95"/>
        <item x="191"/>
        <item x="63"/>
        <item x="91"/>
        <item x="54"/>
        <item x="43"/>
        <item x="26"/>
        <item x="32"/>
        <item x="156"/>
        <item x="149"/>
        <item x="98"/>
        <item x="35"/>
        <item x="173"/>
        <item x="111"/>
        <item x="167"/>
        <item x="89"/>
        <item x="93"/>
        <item x="53"/>
        <item x="51"/>
        <item x="161"/>
        <item x="126"/>
        <item x="76"/>
        <item x="16"/>
        <item x="148"/>
        <item x="83"/>
        <item x="115"/>
        <item x="112"/>
        <item x="5"/>
        <item x="77"/>
        <item x="36"/>
        <item x="146"/>
        <item x="166"/>
        <item x="128"/>
        <item x="49"/>
        <item x="29"/>
        <item x="165"/>
        <item x="88"/>
        <item x="92"/>
        <item x="4"/>
        <item x="102"/>
        <item x="184"/>
        <item x="124"/>
        <item x="125"/>
        <item x="61"/>
        <item x="195"/>
        <item x="155"/>
        <item x="7"/>
        <item x="56"/>
        <item x="64"/>
        <item x="198"/>
        <item x="22"/>
        <item x="171"/>
        <item x="177"/>
        <item x="31"/>
        <item x="122"/>
        <item x="34"/>
        <item x="30"/>
        <item x="132"/>
        <item x="179"/>
        <item x="168"/>
        <item x="136"/>
        <item x="72"/>
        <item x="37"/>
        <item x="152"/>
        <item x="123"/>
        <item x="52"/>
        <item x="117"/>
        <item x="25"/>
        <item x="160"/>
        <item x="45"/>
        <item x="142"/>
        <item x="96"/>
        <item x="81"/>
        <item x="157"/>
        <item x="44"/>
        <item x="180"/>
        <item x="199"/>
        <item x="86"/>
        <item x="134"/>
        <item x="17"/>
        <item x="140"/>
        <item x="50"/>
        <item x="84"/>
        <item x="163"/>
        <item x="108"/>
        <item x="190"/>
        <item x="71"/>
        <item x="150"/>
        <item x="33"/>
        <item x="130"/>
        <item x="97"/>
        <item x="40"/>
        <item x="147"/>
        <item x="87"/>
        <item x="80"/>
        <item x="197"/>
        <item x="2"/>
        <item x="104"/>
        <item x="3"/>
        <item x="65"/>
        <item x="164"/>
        <item x="48"/>
        <item x="176"/>
        <item x="68"/>
        <item x="78"/>
        <item x="192"/>
        <item x="172"/>
        <item x="159"/>
        <item x="47"/>
        <item x="11"/>
        <item x="103"/>
        <item x="182"/>
        <item x="85"/>
        <item x="94"/>
        <item x="187"/>
        <item x="139"/>
        <item x="131"/>
        <item x="145"/>
        <item x="62"/>
        <item x="73"/>
        <item x="193"/>
        <item x="67"/>
        <item x="13"/>
        <item x="141"/>
        <item x="8"/>
        <item x="174"/>
        <item x="27"/>
        <item x="23"/>
        <item x="74"/>
        <item x="9"/>
        <item x="14"/>
        <item x="113"/>
        <item x="101"/>
        <item x="99"/>
        <item x="105"/>
        <item x="110"/>
        <item x="151"/>
        <item x="46"/>
        <item x="69"/>
        <item x="109"/>
        <item x="24"/>
        <item x="116"/>
        <item x="38"/>
        <item x="18"/>
        <item x="162"/>
        <item x="153"/>
        <item x="106"/>
        <item x="127"/>
        <item x="20"/>
        <item x="120"/>
        <item x="170"/>
        <item x="189"/>
        <item x="10"/>
        <item x="196"/>
        <item x="175"/>
        <item x="188"/>
        <item x="13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 v="105"/>
    </i>
    <i>
      <x v="112"/>
    </i>
    <i>
      <x v="114"/>
    </i>
    <i>
      <x v="137"/>
    </i>
    <i>
      <x v="179"/>
    </i>
    <i t="grand">
      <x/>
    </i>
  </rowItems>
  <colItems count="1">
    <i/>
  </colItems>
  <dataFields count="1">
    <dataField name="Sum of Total amount" fld="9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workbookViewId="0">
      <selection activeCell="D29" sqref="D29"/>
    </sheetView>
  </sheetViews>
  <sheetFormatPr defaultColWidth="17.85546875" defaultRowHeight="15"/>
  <cols>
    <col min="2" max="2" width="17.85546875" style="3"/>
  </cols>
  <sheetData>
    <row r="1" spans="1:10" s="1" customForma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3">
        <v>45683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135097</v>
      </c>
      <c r="J2" t="s">
        <v>16</v>
      </c>
    </row>
    <row r="3" spans="1:10">
      <c r="A3" t="s">
        <v>17</v>
      </c>
      <c r="B3" s="3">
        <v>45681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>
        <v>4</v>
      </c>
      <c r="I3">
        <v>62800</v>
      </c>
      <c r="J3" t="s">
        <v>22</v>
      </c>
    </row>
    <row r="4" spans="1:10">
      <c r="A4" t="s">
        <v>23</v>
      </c>
      <c r="B4" s="3">
        <v>45684</v>
      </c>
      <c r="C4" t="s">
        <v>24</v>
      </c>
      <c r="D4" t="s">
        <v>25</v>
      </c>
      <c r="E4" t="s">
        <v>20</v>
      </c>
      <c r="F4" t="s">
        <v>26</v>
      </c>
      <c r="G4" t="s">
        <v>27</v>
      </c>
      <c r="H4">
        <v>3</v>
      </c>
      <c r="I4">
        <v>64876</v>
      </c>
      <c r="J4" t="s">
        <v>22</v>
      </c>
    </row>
    <row r="5" spans="1:10">
      <c r="A5" t="s">
        <v>28</v>
      </c>
      <c r="B5" s="3">
        <v>45711</v>
      </c>
      <c r="C5" t="s">
        <v>29</v>
      </c>
      <c r="D5" t="s">
        <v>30</v>
      </c>
      <c r="E5" t="s">
        <v>31</v>
      </c>
      <c r="F5" t="s">
        <v>14</v>
      </c>
      <c r="G5" t="s">
        <v>32</v>
      </c>
      <c r="H5">
        <v>4</v>
      </c>
      <c r="I5">
        <v>60027</v>
      </c>
      <c r="J5" t="s">
        <v>33</v>
      </c>
    </row>
    <row r="6" spans="1:10">
      <c r="A6" t="s">
        <v>34</v>
      </c>
      <c r="B6" s="3">
        <v>45604</v>
      </c>
      <c r="C6" t="s">
        <v>35</v>
      </c>
      <c r="D6" t="s">
        <v>36</v>
      </c>
      <c r="E6" t="s">
        <v>13</v>
      </c>
      <c r="F6" t="s">
        <v>37</v>
      </c>
      <c r="G6" t="s">
        <v>38</v>
      </c>
      <c r="H6">
        <v>1</v>
      </c>
      <c r="I6">
        <v>95282</v>
      </c>
      <c r="J6" t="s">
        <v>22</v>
      </c>
    </row>
    <row r="7" spans="1:10">
      <c r="A7" t="s">
        <v>39</v>
      </c>
      <c r="B7" s="3">
        <v>45639</v>
      </c>
      <c r="C7" t="s">
        <v>40</v>
      </c>
      <c r="D7" t="s">
        <v>41</v>
      </c>
      <c r="E7" t="s">
        <v>31</v>
      </c>
      <c r="F7" t="s">
        <v>37</v>
      </c>
      <c r="G7" t="s">
        <v>38</v>
      </c>
      <c r="H7">
        <v>4</v>
      </c>
      <c r="I7">
        <v>75605</v>
      </c>
      <c r="J7" t="s">
        <v>22</v>
      </c>
    </row>
    <row r="8" spans="1:10">
      <c r="A8" t="s">
        <v>42</v>
      </c>
      <c r="B8" s="3">
        <v>45707</v>
      </c>
      <c r="C8" t="s">
        <v>43</v>
      </c>
      <c r="D8" t="s">
        <v>44</v>
      </c>
      <c r="E8" t="s">
        <v>13</v>
      </c>
      <c r="F8" t="s">
        <v>45</v>
      </c>
      <c r="G8" t="s">
        <v>46</v>
      </c>
      <c r="H8">
        <v>2</v>
      </c>
      <c r="I8">
        <v>3954</v>
      </c>
      <c r="J8" t="s">
        <v>47</v>
      </c>
    </row>
    <row r="9" spans="1:10">
      <c r="A9" t="s">
        <v>48</v>
      </c>
      <c r="B9" s="3">
        <v>45717</v>
      </c>
      <c r="C9" t="s">
        <v>49</v>
      </c>
      <c r="D9" t="s">
        <v>50</v>
      </c>
      <c r="E9" t="s">
        <v>20</v>
      </c>
      <c r="F9" t="s">
        <v>45</v>
      </c>
      <c r="G9" t="s">
        <v>51</v>
      </c>
      <c r="H9">
        <v>1</v>
      </c>
      <c r="I9">
        <v>3246</v>
      </c>
      <c r="J9" t="s">
        <v>47</v>
      </c>
    </row>
    <row r="10" spans="1:10">
      <c r="A10" t="s">
        <v>52</v>
      </c>
      <c r="B10" s="3">
        <v>45756</v>
      </c>
      <c r="C10" t="s">
        <v>53</v>
      </c>
      <c r="D10" t="s">
        <v>54</v>
      </c>
      <c r="E10" t="s">
        <v>13</v>
      </c>
      <c r="F10" t="s">
        <v>14</v>
      </c>
      <c r="G10" t="s">
        <v>21</v>
      </c>
      <c r="H10">
        <v>1</v>
      </c>
      <c r="I10">
        <v>42616</v>
      </c>
      <c r="J10" t="s">
        <v>47</v>
      </c>
    </row>
    <row r="11" spans="1:10">
      <c r="A11" t="s">
        <v>55</v>
      </c>
      <c r="B11" s="3">
        <v>45645</v>
      </c>
      <c r="C11" t="s">
        <v>56</v>
      </c>
      <c r="D11" t="s">
        <v>57</v>
      </c>
      <c r="E11" t="s">
        <v>13</v>
      </c>
      <c r="F11" t="s">
        <v>14</v>
      </c>
      <c r="G11" t="s">
        <v>21</v>
      </c>
      <c r="H11">
        <v>5</v>
      </c>
      <c r="I11">
        <v>33551</v>
      </c>
      <c r="J11" t="s">
        <v>22</v>
      </c>
    </row>
    <row r="12" spans="1:10">
      <c r="A12" t="s">
        <v>58</v>
      </c>
      <c r="B12" s="3">
        <v>45582</v>
      </c>
      <c r="C12" t="s">
        <v>59</v>
      </c>
      <c r="D12" t="s">
        <v>60</v>
      </c>
      <c r="E12" t="s">
        <v>61</v>
      </c>
      <c r="F12" t="s">
        <v>37</v>
      </c>
      <c r="G12" t="s">
        <v>62</v>
      </c>
      <c r="H12">
        <v>3</v>
      </c>
      <c r="I12">
        <v>53827</v>
      </c>
      <c r="J12" t="s">
        <v>33</v>
      </c>
    </row>
    <row r="13" spans="1:10">
      <c r="A13" t="s">
        <v>63</v>
      </c>
      <c r="B13" s="3">
        <v>45824</v>
      </c>
      <c r="C13" t="s">
        <v>64</v>
      </c>
      <c r="D13" t="s">
        <v>65</v>
      </c>
      <c r="E13" t="s">
        <v>61</v>
      </c>
      <c r="F13" t="s">
        <v>45</v>
      </c>
      <c r="G13" t="s">
        <v>51</v>
      </c>
      <c r="H13">
        <v>2</v>
      </c>
      <c r="I13">
        <v>2513</v>
      </c>
      <c r="J13" t="s">
        <v>16</v>
      </c>
    </row>
    <row r="14" spans="1:10">
      <c r="A14" t="s">
        <v>66</v>
      </c>
      <c r="B14" s="3">
        <v>45743</v>
      </c>
      <c r="C14" t="s">
        <v>67</v>
      </c>
      <c r="D14" t="s">
        <v>68</v>
      </c>
      <c r="E14" t="s">
        <v>61</v>
      </c>
      <c r="F14" t="s">
        <v>14</v>
      </c>
      <c r="G14" t="s">
        <v>21</v>
      </c>
      <c r="H14">
        <v>4</v>
      </c>
      <c r="I14">
        <v>83026</v>
      </c>
      <c r="J14" t="s">
        <v>33</v>
      </c>
    </row>
    <row r="15" spans="1:10">
      <c r="A15" t="s">
        <v>69</v>
      </c>
      <c r="B15" s="3">
        <v>45588</v>
      </c>
      <c r="C15" t="s">
        <v>70</v>
      </c>
      <c r="D15" t="s">
        <v>71</v>
      </c>
      <c r="E15" t="s">
        <v>31</v>
      </c>
      <c r="F15" t="s">
        <v>26</v>
      </c>
      <c r="G15" t="s">
        <v>27</v>
      </c>
      <c r="H15">
        <v>3</v>
      </c>
      <c r="I15">
        <v>17287</v>
      </c>
      <c r="J15" t="s">
        <v>33</v>
      </c>
    </row>
    <row r="16" spans="1:10">
      <c r="A16" t="s">
        <v>72</v>
      </c>
      <c r="B16" s="3">
        <v>45898</v>
      </c>
      <c r="C16" t="s">
        <v>73</v>
      </c>
      <c r="D16" t="s">
        <v>74</v>
      </c>
      <c r="E16" t="s">
        <v>20</v>
      </c>
      <c r="F16" t="s">
        <v>14</v>
      </c>
      <c r="G16" t="s">
        <v>32</v>
      </c>
      <c r="H16">
        <v>5</v>
      </c>
      <c r="I16">
        <v>63155</v>
      </c>
      <c r="J16" t="s">
        <v>33</v>
      </c>
    </row>
    <row r="17" spans="1:10">
      <c r="A17" t="s">
        <v>75</v>
      </c>
      <c r="B17" s="3">
        <v>45750</v>
      </c>
      <c r="C17" t="s">
        <v>76</v>
      </c>
      <c r="D17" t="s">
        <v>77</v>
      </c>
      <c r="E17" t="s">
        <v>31</v>
      </c>
      <c r="F17" t="s">
        <v>37</v>
      </c>
      <c r="G17" t="s">
        <v>78</v>
      </c>
      <c r="H17">
        <v>3</v>
      </c>
      <c r="I17">
        <v>71024</v>
      </c>
      <c r="J17" t="s">
        <v>16</v>
      </c>
    </row>
    <row r="18" spans="1:10">
      <c r="A18" t="s">
        <v>79</v>
      </c>
      <c r="B18" s="3">
        <v>45904</v>
      </c>
      <c r="C18" t="s">
        <v>80</v>
      </c>
      <c r="D18" t="s">
        <v>81</v>
      </c>
      <c r="E18" t="s">
        <v>13</v>
      </c>
      <c r="F18" t="s">
        <v>45</v>
      </c>
      <c r="G18" t="s">
        <v>51</v>
      </c>
      <c r="H18">
        <v>3</v>
      </c>
      <c r="I18">
        <v>1464</v>
      </c>
      <c r="J18" t="s">
        <v>47</v>
      </c>
    </row>
    <row r="19" spans="1:10">
      <c r="A19" t="s">
        <v>82</v>
      </c>
      <c r="B19" s="3">
        <v>45813</v>
      </c>
      <c r="C19" t="s">
        <v>83</v>
      </c>
      <c r="D19" t="s">
        <v>84</v>
      </c>
      <c r="E19" t="s">
        <v>61</v>
      </c>
      <c r="F19" t="s">
        <v>26</v>
      </c>
      <c r="G19" t="s">
        <v>85</v>
      </c>
      <c r="H19">
        <v>4</v>
      </c>
      <c r="I19">
        <v>6265</v>
      </c>
      <c r="J19" t="s">
        <v>47</v>
      </c>
    </row>
    <row r="20" spans="1:10">
      <c r="A20" t="s">
        <v>86</v>
      </c>
      <c r="B20" s="3">
        <v>45670</v>
      </c>
      <c r="C20" t="s">
        <v>87</v>
      </c>
      <c r="D20" t="s">
        <v>88</v>
      </c>
      <c r="E20" t="s">
        <v>31</v>
      </c>
      <c r="F20" t="s">
        <v>14</v>
      </c>
      <c r="G20" t="s">
        <v>15</v>
      </c>
      <c r="H20">
        <v>3</v>
      </c>
      <c r="I20">
        <v>132686</v>
      </c>
      <c r="J20" t="s">
        <v>16</v>
      </c>
    </row>
    <row r="21" spans="1:10">
      <c r="A21" t="s">
        <v>89</v>
      </c>
      <c r="B21" s="3">
        <v>45826</v>
      </c>
      <c r="C21" t="s">
        <v>90</v>
      </c>
      <c r="D21" t="s">
        <v>91</v>
      </c>
      <c r="E21" t="s">
        <v>13</v>
      </c>
      <c r="F21" t="s">
        <v>26</v>
      </c>
      <c r="G21" t="s">
        <v>27</v>
      </c>
      <c r="H21">
        <v>2</v>
      </c>
      <c r="I21">
        <v>25639</v>
      </c>
      <c r="J21" t="s">
        <v>47</v>
      </c>
    </row>
    <row r="22" spans="1:10">
      <c r="A22" t="s">
        <v>92</v>
      </c>
      <c r="B22" s="3">
        <v>45584</v>
      </c>
      <c r="C22" t="s">
        <v>93</v>
      </c>
      <c r="D22" t="s">
        <v>94</v>
      </c>
      <c r="E22" t="s">
        <v>20</v>
      </c>
      <c r="F22" t="s">
        <v>37</v>
      </c>
      <c r="G22" t="s">
        <v>95</v>
      </c>
      <c r="H22">
        <v>2</v>
      </c>
      <c r="I22">
        <v>79779</v>
      </c>
      <c r="J22" t="s">
        <v>16</v>
      </c>
    </row>
    <row r="23" spans="1:10">
      <c r="A23" t="s">
        <v>96</v>
      </c>
      <c r="B23" s="3">
        <v>45639</v>
      </c>
      <c r="C23" t="s">
        <v>97</v>
      </c>
      <c r="D23" t="s">
        <v>98</v>
      </c>
      <c r="E23" t="s">
        <v>31</v>
      </c>
      <c r="F23" t="s">
        <v>45</v>
      </c>
      <c r="G23" t="s">
        <v>51</v>
      </c>
      <c r="H23">
        <v>2</v>
      </c>
      <c r="I23">
        <v>3958</v>
      </c>
      <c r="J23" t="s">
        <v>22</v>
      </c>
    </row>
    <row r="24" spans="1:10">
      <c r="A24" t="s">
        <v>99</v>
      </c>
      <c r="B24" s="3">
        <v>45857</v>
      </c>
      <c r="C24" t="s">
        <v>100</v>
      </c>
      <c r="D24" t="s">
        <v>101</v>
      </c>
      <c r="E24" t="s">
        <v>31</v>
      </c>
      <c r="F24" t="s">
        <v>14</v>
      </c>
      <c r="G24" t="s">
        <v>21</v>
      </c>
      <c r="H24">
        <v>4</v>
      </c>
      <c r="I24">
        <v>23197</v>
      </c>
      <c r="J24" t="s">
        <v>22</v>
      </c>
    </row>
    <row r="25" spans="1:10">
      <c r="A25" t="s">
        <v>102</v>
      </c>
      <c r="B25" s="3">
        <v>45797</v>
      </c>
      <c r="C25" t="s">
        <v>103</v>
      </c>
      <c r="D25" t="s">
        <v>104</v>
      </c>
      <c r="E25" t="s">
        <v>31</v>
      </c>
      <c r="F25" t="s">
        <v>14</v>
      </c>
      <c r="G25" t="s">
        <v>21</v>
      </c>
      <c r="H25">
        <v>5</v>
      </c>
      <c r="I25">
        <v>58602</v>
      </c>
      <c r="J25" t="s">
        <v>33</v>
      </c>
    </row>
    <row r="26" spans="1:10">
      <c r="A26" t="s">
        <v>105</v>
      </c>
      <c r="B26" s="3">
        <v>45704</v>
      </c>
      <c r="C26" t="s">
        <v>106</v>
      </c>
      <c r="D26" t="s">
        <v>107</v>
      </c>
      <c r="E26" t="s">
        <v>31</v>
      </c>
      <c r="F26" t="s">
        <v>14</v>
      </c>
      <c r="G26" t="s">
        <v>108</v>
      </c>
      <c r="H26">
        <v>3</v>
      </c>
      <c r="I26">
        <v>85922</v>
      </c>
      <c r="J26" t="s">
        <v>22</v>
      </c>
    </row>
    <row r="27" spans="1:10">
      <c r="A27" t="s">
        <v>109</v>
      </c>
      <c r="B27" s="3">
        <v>45720</v>
      </c>
      <c r="C27" t="s">
        <v>110</v>
      </c>
      <c r="D27" t="s">
        <v>111</v>
      </c>
      <c r="E27" t="s">
        <v>61</v>
      </c>
      <c r="F27" t="s">
        <v>14</v>
      </c>
      <c r="G27" t="s">
        <v>15</v>
      </c>
      <c r="H27">
        <v>3</v>
      </c>
      <c r="I27">
        <v>23582</v>
      </c>
      <c r="J27" t="s">
        <v>33</v>
      </c>
    </row>
    <row r="28" spans="1:10">
      <c r="A28" t="s">
        <v>112</v>
      </c>
      <c r="B28" s="3">
        <v>45556</v>
      </c>
      <c r="C28" t="s">
        <v>113</v>
      </c>
      <c r="D28" t="s">
        <v>114</v>
      </c>
      <c r="E28" t="s">
        <v>31</v>
      </c>
      <c r="F28" t="s">
        <v>37</v>
      </c>
      <c r="G28" t="s">
        <v>78</v>
      </c>
      <c r="H28">
        <v>4</v>
      </c>
      <c r="I28">
        <v>37423</v>
      </c>
      <c r="J28" t="s">
        <v>33</v>
      </c>
    </row>
    <row r="29" spans="1:10">
      <c r="A29" t="s">
        <v>115</v>
      </c>
      <c r="B29" s="3">
        <v>45607</v>
      </c>
      <c r="C29" t="s">
        <v>116</v>
      </c>
      <c r="D29" t="s">
        <v>117</v>
      </c>
      <c r="E29" t="s">
        <v>13</v>
      </c>
      <c r="F29" t="s">
        <v>45</v>
      </c>
      <c r="G29" t="s">
        <v>46</v>
      </c>
      <c r="H29">
        <v>5</v>
      </c>
      <c r="I29">
        <v>4645</v>
      </c>
      <c r="J29" t="s">
        <v>47</v>
      </c>
    </row>
    <row r="30" spans="1:10">
      <c r="A30" t="s">
        <v>118</v>
      </c>
      <c r="B30" s="3">
        <v>45883</v>
      </c>
      <c r="C30" t="s">
        <v>119</v>
      </c>
      <c r="D30" t="s">
        <v>120</v>
      </c>
      <c r="E30" t="s">
        <v>13</v>
      </c>
      <c r="F30" t="s">
        <v>26</v>
      </c>
      <c r="G30" t="s">
        <v>85</v>
      </c>
      <c r="H30">
        <v>1</v>
      </c>
      <c r="I30">
        <v>26925</v>
      </c>
      <c r="J30" t="s">
        <v>47</v>
      </c>
    </row>
    <row r="31" spans="1:10">
      <c r="A31" t="s">
        <v>121</v>
      </c>
      <c r="B31" s="3">
        <v>45884</v>
      </c>
      <c r="C31" t="s">
        <v>122</v>
      </c>
      <c r="D31" t="s">
        <v>123</v>
      </c>
      <c r="E31" t="s">
        <v>31</v>
      </c>
      <c r="F31" t="s">
        <v>26</v>
      </c>
      <c r="G31" t="s">
        <v>124</v>
      </c>
      <c r="H31">
        <v>3</v>
      </c>
      <c r="I31">
        <v>53983</v>
      </c>
      <c r="J31" t="s">
        <v>16</v>
      </c>
    </row>
    <row r="32" spans="1:10">
      <c r="A32" t="s">
        <v>125</v>
      </c>
      <c r="B32" s="3">
        <v>45687</v>
      </c>
      <c r="C32" t="s">
        <v>126</v>
      </c>
      <c r="D32" t="s">
        <v>127</v>
      </c>
      <c r="E32" t="s">
        <v>61</v>
      </c>
      <c r="F32" t="s">
        <v>14</v>
      </c>
      <c r="G32" t="s">
        <v>32</v>
      </c>
      <c r="H32">
        <v>2</v>
      </c>
      <c r="I32">
        <v>36920</v>
      </c>
      <c r="J32" t="s">
        <v>33</v>
      </c>
    </row>
    <row r="33" spans="1:10">
      <c r="A33" t="s">
        <v>128</v>
      </c>
      <c r="B33" s="3">
        <v>45729</v>
      </c>
      <c r="C33" t="s">
        <v>129</v>
      </c>
      <c r="D33" t="s">
        <v>130</v>
      </c>
      <c r="E33" t="s">
        <v>20</v>
      </c>
      <c r="F33" t="s">
        <v>45</v>
      </c>
      <c r="G33" t="s">
        <v>131</v>
      </c>
      <c r="H33">
        <v>3</v>
      </c>
      <c r="I33">
        <v>1509</v>
      </c>
      <c r="J33" t="s">
        <v>16</v>
      </c>
    </row>
    <row r="34" spans="1:10">
      <c r="A34" t="s">
        <v>132</v>
      </c>
      <c r="B34" s="3">
        <v>45816</v>
      </c>
      <c r="C34" t="s">
        <v>133</v>
      </c>
      <c r="D34" t="s">
        <v>134</v>
      </c>
      <c r="E34" t="s">
        <v>13</v>
      </c>
      <c r="F34" t="s">
        <v>45</v>
      </c>
      <c r="G34" t="s">
        <v>46</v>
      </c>
      <c r="H34">
        <v>5</v>
      </c>
      <c r="I34">
        <v>2783</v>
      </c>
      <c r="J34" t="s">
        <v>16</v>
      </c>
    </row>
    <row r="35" spans="1:10">
      <c r="A35" t="s">
        <v>135</v>
      </c>
      <c r="B35" s="3">
        <v>45735</v>
      </c>
      <c r="C35" t="s">
        <v>136</v>
      </c>
      <c r="D35" t="s">
        <v>137</v>
      </c>
      <c r="E35" t="s">
        <v>31</v>
      </c>
      <c r="F35" t="s">
        <v>26</v>
      </c>
      <c r="G35" t="s">
        <v>85</v>
      </c>
      <c r="H35">
        <v>4</v>
      </c>
      <c r="I35">
        <v>50323</v>
      </c>
      <c r="J35" t="s">
        <v>33</v>
      </c>
    </row>
    <row r="36" spans="1:10">
      <c r="A36" t="s">
        <v>138</v>
      </c>
      <c r="B36" s="3">
        <v>45866</v>
      </c>
      <c r="C36" t="s">
        <v>139</v>
      </c>
      <c r="D36" t="s">
        <v>140</v>
      </c>
      <c r="E36" t="s">
        <v>31</v>
      </c>
      <c r="F36" t="s">
        <v>37</v>
      </c>
      <c r="G36" t="s">
        <v>78</v>
      </c>
      <c r="H36">
        <v>4</v>
      </c>
      <c r="I36">
        <v>79783</v>
      </c>
      <c r="J36" t="s">
        <v>16</v>
      </c>
    </row>
    <row r="37" spans="1:10">
      <c r="A37" t="s">
        <v>141</v>
      </c>
      <c r="B37" s="3">
        <v>45757</v>
      </c>
      <c r="C37" t="s">
        <v>142</v>
      </c>
      <c r="D37" t="s">
        <v>143</v>
      </c>
      <c r="E37" t="s">
        <v>61</v>
      </c>
      <c r="F37" t="s">
        <v>45</v>
      </c>
      <c r="G37" t="s">
        <v>144</v>
      </c>
      <c r="H37">
        <v>2</v>
      </c>
      <c r="I37">
        <v>1390</v>
      </c>
      <c r="J37" t="s">
        <v>47</v>
      </c>
    </row>
    <row r="38" spans="1:10">
      <c r="A38" t="s">
        <v>145</v>
      </c>
      <c r="B38" s="3">
        <v>45767</v>
      </c>
      <c r="C38" t="s">
        <v>146</v>
      </c>
      <c r="D38" t="s">
        <v>147</v>
      </c>
      <c r="E38" t="s">
        <v>61</v>
      </c>
      <c r="F38" t="s">
        <v>26</v>
      </c>
      <c r="G38" t="s">
        <v>124</v>
      </c>
      <c r="H38">
        <v>3</v>
      </c>
      <c r="I38">
        <v>57382</v>
      </c>
      <c r="J38" t="s">
        <v>33</v>
      </c>
    </row>
    <row r="39" spans="1:10">
      <c r="A39" t="s">
        <v>148</v>
      </c>
      <c r="B39" s="3">
        <v>45638</v>
      </c>
      <c r="C39" t="s">
        <v>149</v>
      </c>
      <c r="D39" t="s">
        <v>150</v>
      </c>
      <c r="E39" t="s">
        <v>20</v>
      </c>
      <c r="F39" t="s">
        <v>14</v>
      </c>
      <c r="G39" t="s">
        <v>15</v>
      </c>
      <c r="H39">
        <v>4</v>
      </c>
      <c r="I39">
        <v>147086</v>
      </c>
      <c r="J39" t="s">
        <v>33</v>
      </c>
    </row>
    <row r="40" spans="1:10">
      <c r="A40" t="s">
        <v>151</v>
      </c>
      <c r="B40" s="3">
        <v>45599</v>
      </c>
      <c r="C40" t="s">
        <v>152</v>
      </c>
      <c r="D40" t="s">
        <v>153</v>
      </c>
      <c r="E40" t="s">
        <v>13</v>
      </c>
      <c r="F40" t="s">
        <v>14</v>
      </c>
      <c r="G40" t="s">
        <v>32</v>
      </c>
      <c r="H40">
        <v>3</v>
      </c>
      <c r="I40">
        <v>68942</v>
      </c>
      <c r="J40" t="s">
        <v>47</v>
      </c>
    </row>
    <row r="41" spans="1:10">
      <c r="A41" t="s">
        <v>154</v>
      </c>
      <c r="B41" s="3">
        <v>45684</v>
      </c>
      <c r="C41" t="s">
        <v>155</v>
      </c>
      <c r="D41" t="s">
        <v>156</v>
      </c>
      <c r="E41" t="s">
        <v>31</v>
      </c>
      <c r="F41" t="s">
        <v>14</v>
      </c>
      <c r="G41" t="s">
        <v>32</v>
      </c>
      <c r="H41">
        <v>2</v>
      </c>
      <c r="I41">
        <v>106609</v>
      </c>
      <c r="J41" t="s">
        <v>47</v>
      </c>
    </row>
    <row r="42" spans="1:10">
      <c r="A42" t="s">
        <v>157</v>
      </c>
      <c r="B42" s="3">
        <v>45869</v>
      </c>
      <c r="C42" t="s">
        <v>158</v>
      </c>
      <c r="D42" t="s">
        <v>159</v>
      </c>
      <c r="E42" t="s">
        <v>13</v>
      </c>
      <c r="F42" t="s">
        <v>45</v>
      </c>
      <c r="G42" t="s">
        <v>144</v>
      </c>
      <c r="H42">
        <v>4</v>
      </c>
      <c r="I42">
        <v>1876</v>
      </c>
      <c r="J42" t="s">
        <v>33</v>
      </c>
    </row>
    <row r="43" spans="1:10">
      <c r="A43" t="s">
        <v>160</v>
      </c>
      <c r="B43" s="3">
        <v>45825</v>
      </c>
      <c r="C43" t="s">
        <v>161</v>
      </c>
      <c r="D43" t="s">
        <v>162</v>
      </c>
      <c r="E43" t="s">
        <v>20</v>
      </c>
      <c r="F43" t="s">
        <v>45</v>
      </c>
      <c r="G43" t="s">
        <v>46</v>
      </c>
      <c r="H43">
        <v>1</v>
      </c>
      <c r="I43">
        <v>3235</v>
      </c>
      <c r="J43" t="s">
        <v>22</v>
      </c>
    </row>
    <row r="44" spans="1:10">
      <c r="A44" t="s">
        <v>163</v>
      </c>
      <c r="B44" s="3">
        <v>45716</v>
      </c>
      <c r="C44" t="s">
        <v>164</v>
      </c>
      <c r="D44" t="s">
        <v>165</v>
      </c>
      <c r="E44" t="s">
        <v>13</v>
      </c>
      <c r="F44" t="s">
        <v>14</v>
      </c>
      <c r="G44" t="s">
        <v>108</v>
      </c>
      <c r="H44">
        <v>5</v>
      </c>
      <c r="I44">
        <v>10499</v>
      </c>
      <c r="J44" t="s">
        <v>47</v>
      </c>
    </row>
    <row r="45" spans="1:10">
      <c r="A45" t="s">
        <v>166</v>
      </c>
      <c r="B45" s="3">
        <v>45654</v>
      </c>
      <c r="C45" t="s">
        <v>167</v>
      </c>
      <c r="D45" t="s">
        <v>168</v>
      </c>
      <c r="E45" t="s">
        <v>13</v>
      </c>
      <c r="F45" t="s">
        <v>45</v>
      </c>
      <c r="G45" t="s">
        <v>46</v>
      </c>
      <c r="H45">
        <v>4</v>
      </c>
      <c r="I45">
        <v>3304</v>
      </c>
      <c r="J45" t="s">
        <v>47</v>
      </c>
    </row>
    <row r="46" spans="1:10">
      <c r="A46" t="s">
        <v>169</v>
      </c>
      <c r="B46" s="3">
        <v>45688</v>
      </c>
      <c r="C46" t="s">
        <v>170</v>
      </c>
      <c r="D46" t="s">
        <v>171</v>
      </c>
      <c r="E46" t="s">
        <v>31</v>
      </c>
      <c r="F46" t="s">
        <v>45</v>
      </c>
      <c r="G46" t="s">
        <v>46</v>
      </c>
      <c r="H46">
        <v>4</v>
      </c>
      <c r="I46">
        <v>597</v>
      </c>
      <c r="J46" t="s">
        <v>22</v>
      </c>
    </row>
    <row r="47" spans="1:10">
      <c r="A47" t="s">
        <v>172</v>
      </c>
      <c r="B47" s="3">
        <v>45840</v>
      </c>
      <c r="C47" t="s">
        <v>173</v>
      </c>
      <c r="D47" t="s">
        <v>174</v>
      </c>
      <c r="E47" t="s">
        <v>61</v>
      </c>
      <c r="F47" t="s">
        <v>14</v>
      </c>
      <c r="G47" t="s">
        <v>21</v>
      </c>
      <c r="H47">
        <v>5</v>
      </c>
      <c r="I47">
        <v>122260</v>
      </c>
      <c r="J47" t="s">
        <v>33</v>
      </c>
    </row>
    <row r="48" spans="1:10">
      <c r="A48" t="s">
        <v>175</v>
      </c>
      <c r="B48" s="3">
        <v>45626</v>
      </c>
      <c r="C48" t="s">
        <v>176</v>
      </c>
      <c r="D48" t="s">
        <v>177</v>
      </c>
      <c r="E48" t="s">
        <v>20</v>
      </c>
      <c r="F48" t="s">
        <v>45</v>
      </c>
      <c r="G48" t="s">
        <v>144</v>
      </c>
      <c r="H48">
        <v>3</v>
      </c>
      <c r="I48">
        <v>1626</v>
      </c>
      <c r="J48" t="s">
        <v>33</v>
      </c>
    </row>
    <row r="49" spans="1:10">
      <c r="A49" t="s">
        <v>178</v>
      </c>
      <c r="B49" s="3">
        <v>45586</v>
      </c>
      <c r="C49" t="s">
        <v>179</v>
      </c>
      <c r="D49" t="s">
        <v>180</v>
      </c>
      <c r="E49" t="s">
        <v>13</v>
      </c>
      <c r="F49" t="s">
        <v>37</v>
      </c>
      <c r="G49" t="s">
        <v>38</v>
      </c>
      <c r="H49">
        <v>1</v>
      </c>
      <c r="I49">
        <v>93643</v>
      </c>
      <c r="J49" t="s">
        <v>16</v>
      </c>
    </row>
    <row r="50" spans="1:10">
      <c r="A50" t="s">
        <v>181</v>
      </c>
      <c r="B50" s="3">
        <v>45570</v>
      </c>
      <c r="C50" t="s">
        <v>182</v>
      </c>
      <c r="D50" t="s">
        <v>183</v>
      </c>
      <c r="E50" t="s">
        <v>13</v>
      </c>
      <c r="F50" t="s">
        <v>45</v>
      </c>
      <c r="G50" t="s">
        <v>144</v>
      </c>
      <c r="H50">
        <v>3</v>
      </c>
      <c r="I50">
        <v>2764</v>
      </c>
      <c r="J50" t="s">
        <v>22</v>
      </c>
    </row>
    <row r="51" spans="1:10">
      <c r="A51" t="s">
        <v>184</v>
      </c>
      <c r="B51" s="3">
        <v>45602</v>
      </c>
      <c r="C51" t="s">
        <v>185</v>
      </c>
      <c r="D51" t="s">
        <v>186</v>
      </c>
      <c r="E51" t="s">
        <v>31</v>
      </c>
      <c r="F51" t="s">
        <v>45</v>
      </c>
      <c r="G51" t="s">
        <v>51</v>
      </c>
      <c r="H51">
        <v>2</v>
      </c>
      <c r="I51">
        <v>2282</v>
      </c>
      <c r="J51" t="s">
        <v>33</v>
      </c>
    </row>
    <row r="52" spans="1:10">
      <c r="A52" t="s">
        <v>187</v>
      </c>
      <c r="B52" s="3">
        <v>45721</v>
      </c>
      <c r="C52" t="s">
        <v>188</v>
      </c>
      <c r="D52" t="s">
        <v>189</v>
      </c>
      <c r="E52" t="s">
        <v>13</v>
      </c>
      <c r="F52" t="s">
        <v>14</v>
      </c>
      <c r="G52" t="s">
        <v>108</v>
      </c>
      <c r="H52">
        <v>1</v>
      </c>
      <c r="I52">
        <v>35936</v>
      </c>
      <c r="J52" t="s">
        <v>16</v>
      </c>
    </row>
    <row r="53" spans="1:10">
      <c r="A53" t="s">
        <v>190</v>
      </c>
      <c r="B53" s="3">
        <v>45863</v>
      </c>
      <c r="C53" t="s">
        <v>191</v>
      </c>
      <c r="D53" t="s">
        <v>192</v>
      </c>
      <c r="E53" t="s">
        <v>61</v>
      </c>
      <c r="F53" t="s">
        <v>37</v>
      </c>
      <c r="G53" t="s">
        <v>78</v>
      </c>
      <c r="H53">
        <v>2</v>
      </c>
      <c r="I53">
        <v>46573</v>
      </c>
      <c r="J53" t="s">
        <v>22</v>
      </c>
    </row>
    <row r="54" spans="1:10">
      <c r="A54" t="s">
        <v>193</v>
      </c>
      <c r="B54" s="3">
        <v>45709</v>
      </c>
      <c r="C54" t="s">
        <v>194</v>
      </c>
      <c r="D54" t="s">
        <v>195</v>
      </c>
      <c r="E54" t="s">
        <v>20</v>
      </c>
      <c r="F54" t="s">
        <v>37</v>
      </c>
      <c r="G54" t="s">
        <v>62</v>
      </c>
      <c r="H54">
        <v>4</v>
      </c>
      <c r="I54">
        <v>42892</v>
      </c>
      <c r="J54" t="s">
        <v>22</v>
      </c>
    </row>
    <row r="55" spans="1:10">
      <c r="A55" t="s">
        <v>196</v>
      </c>
      <c r="B55" s="3">
        <v>45592</v>
      </c>
      <c r="C55" t="s">
        <v>197</v>
      </c>
      <c r="D55" t="s">
        <v>198</v>
      </c>
      <c r="E55" t="s">
        <v>31</v>
      </c>
      <c r="F55" t="s">
        <v>14</v>
      </c>
      <c r="G55" t="s">
        <v>108</v>
      </c>
      <c r="H55">
        <v>1</v>
      </c>
      <c r="I55">
        <v>66815</v>
      </c>
      <c r="J55" t="s">
        <v>33</v>
      </c>
    </row>
    <row r="56" spans="1:10">
      <c r="A56" t="s">
        <v>199</v>
      </c>
      <c r="B56" s="3">
        <v>45652</v>
      </c>
      <c r="C56" t="s">
        <v>200</v>
      </c>
      <c r="D56" t="s">
        <v>201</v>
      </c>
      <c r="E56" t="s">
        <v>20</v>
      </c>
      <c r="F56" t="s">
        <v>37</v>
      </c>
      <c r="G56" t="s">
        <v>62</v>
      </c>
      <c r="H56">
        <v>3</v>
      </c>
      <c r="I56">
        <v>9510</v>
      </c>
      <c r="J56" t="s">
        <v>47</v>
      </c>
    </row>
    <row r="57" spans="1:10">
      <c r="A57" t="s">
        <v>202</v>
      </c>
      <c r="B57" s="3">
        <v>45582</v>
      </c>
      <c r="C57" t="s">
        <v>203</v>
      </c>
      <c r="D57" t="s">
        <v>204</v>
      </c>
      <c r="E57" t="s">
        <v>13</v>
      </c>
      <c r="F57" t="s">
        <v>45</v>
      </c>
      <c r="G57" t="s">
        <v>144</v>
      </c>
      <c r="H57">
        <v>1</v>
      </c>
      <c r="I57">
        <v>1460</v>
      </c>
      <c r="J57" t="s">
        <v>22</v>
      </c>
    </row>
    <row r="58" spans="1:10">
      <c r="A58" t="s">
        <v>205</v>
      </c>
      <c r="B58" s="3">
        <v>45583</v>
      </c>
      <c r="C58" t="s">
        <v>206</v>
      </c>
      <c r="D58" t="s">
        <v>207</v>
      </c>
      <c r="E58" t="s">
        <v>13</v>
      </c>
      <c r="F58" t="s">
        <v>26</v>
      </c>
      <c r="G58" t="s">
        <v>27</v>
      </c>
      <c r="H58">
        <v>1</v>
      </c>
      <c r="I58">
        <v>79582</v>
      </c>
      <c r="J58" t="s">
        <v>22</v>
      </c>
    </row>
    <row r="59" spans="1:10">
      <c r="A59" t="s">
        <v>208</v>
      </c>
      <c r="B59" s="3">
        <v>45556</v>
      </c>
      <c r="C59" t="s">
        <v>209</v>
      </c>
      <c r="D59" t="s">
        <v>210</v>
      </c>
      <c r="E59" t="s">
        <v>20</v>
      </c>
      <c r="F59" t="s">
        <v>37</v>
      </c>
      <c r="G59" t="s">
        <v>62</v>
      </c>
      <c r="H59">
        <v>3</v>
      </c>
      <c r="I59">
        <v>19817</v>
      </c>
      <c r="J59" t="s">
        <v>33</v>
      </c>
    </row>
    <row r="60" spans="1:10">
      <c r="A60" t="s">
        <v>211</v>
      </c>
      <c r="B60" s="3">
        <v>45669</v>
      </c>
      <c r="C60" t="s">
        <v>212</v>
      </c>
      <c r="D60" t="s">
        <v>213</v>
      </c>
      <c r="E60" t="s">
        <v>13</v>
      </c>
      <c r="F60" t="s">
        <v>45</v>
      </c>
      <c r="G60" t="s">
        <v>46</v>
      </c>
      <c r="H60">
        <v>3</v>
      </c>
      <c r="I60">
        <v>738</v>
      </c>
      <c r="J60" t="s">
        <v>16</v>
      </c>
    </row>
    <row r="61" spans="1:10">
      <c r="A61" t="s">
        <v>214</v>
      </c>
      <c r="B61" s="3">
        <v>45893</v>
      </c>
      <c r="C61" t="s">
        <v>215</v>
      </c>
      <c r="D61" t="s">
        <v>216</v>
      </c>
      <c r="E61" t="s">
        <v>13</v>
      </c>
      <c r="F61" t="s">
        <v>45</v>
      </c>
      <c r="G61" t="s">
        <v>46</v>
      </c>
      <c r="H61">
        <v>3</v>
      </c>
      <c r="I61">
        <v>2925</v>
      </c>
      <c r="J61" t="s">
        <v>47</v>
      </c>
    </row>
    <row r="62" spans="1:10">
      <c r="A62" t="s">
        <v>217</v>
      </c>
      <c r="B62" s="3">
        <v>45752</v>
      </c>
      <c r="C62" t="s">
        <v>218</v>
      </c>
      <c r="D62" t="s">
        <v>219</v>
      </c>
      <c r="E62" t="s">
        <v>20</v>
      </c>
      <c r="F62" t="s">
        <v>26</v>
      </c>
      <c r="G62" t="s">
        <v>27</v>
      </c>
      <c r="H62">
        <v>1</v>
      </c>
      <c r="I62">
        <v>68587</v>
      </c>
      <c r="J62" t="s">
        <v>22</v>
      </c>
    </row>
    <row r="63" spans="1:10">
      <c r="A63" t="s">
        <v>220</v>
      </c>
      <c r="B63" s="3">
        <v>45583</v>
      </c>
      <c r="C63" t="s">
        <v>221</v>
      </c>
      <c r="D63" t="s">
        <v>222</v>
      </c>
      <c r="E63" t="s">
        <v>20</v>
      </c>
      <c r="F63" t="s">
        <v>26</v>
      </c>
      <c r="G63" t="s">
        <v>27</v>
      </c>
      <c r="H63">
        <v>2</v>
      </c>
      <c r="I63">
        <v>8703</v>
      </c>
      <c r="J63" t="s">
        <v>22</v>
      </c>
    </row>
    <row r="64" spans="1:10">
      <c r="A64" t="s">
        <v>223</v>
      </c>
      <c r="B64" s="3">
        <v>45624</v>
      </c>
      <c r="C64" t="s">
        <v>224</v>
      </c>
      <c r="D64" t="s">
        <v>225</v>
      </c>
      <c r="E64" t="s">
        <v>13</v>
      </c>
      <c r="F64" t="s">
        <v>45</v>
      </c>
      <c r="G64" t="s">
        <v>131</v>
      </c>
      <c r="H64">
        <v>4</v>
      </c>
      <c r="I64">
        <v>581</v>
      </c>
      <c r="J64" t="s">
        <v>47</v>
      </c>
    </row>
    <row r="65" spans="1:10">
      <c r="A65" t="s">
        <v>226</v>
      </c>
      <c r="B65" s="3">
        <v>45825</v>
      </c>
      <c r="C65" t="s">
        <v>227</v>
      </c>
      <c r="D65" t="s">
        <v>228</v>
      </c>
      <c r="E65" t="s">
        <v>31</v>
      </c>
      <c r="F65" t="s">
        <v>37</v>
      </c>
      <c r="G65" t="s">
        <v>38</v>
      </c>
      <c r="H65">
        <v>5</v>
      </c>
      <c r="I65">
        <v>49012</v>
      </c>
      <c r="J65" t="s">
        <v>33</v>
      </c>
    </row>
    <row r="66" spans="1:10">
      <c r="A66" t="s">
        <v>229</v>
      </c>
      <c r="B66" s="3">
        <v>45583</v>
      </c>
      <c r="C66" t="s">
        <v>230</v>
      </c>
      <c r="D66" t="s">
        <v>231</v>
      </c>
      <c r="E66" t="s">
        <v>31</v>
      </c>
      <c r="F66" t="s">
        <v>37</v>
      </c>
      <c r="G66" t="s">
        <v>78</v>
      </c>
      <c r="H66">
        <v>4</v>
      </c>
      <c r="I66">
        <v>43312</v>
      </c>
      <c r="J66" t="s">
        <v>33</v>
      </c>
    </row>
    <row r="67" spans="1:10">
      <c r="A67" t="s">
        <v>232</v>
      </c>
      <c r="B67" s="3">
        <v>45726</v>
      </c>
      <c r="C67" t="s">
        <v>206</v>
      </c>
      <c r="D67" t="s">
        <v>233</v>
      </c>
      <c r="E67" t="s">
        <v>31</v>
      </c>
      <c r="F67" t="s">
        <v>37</v>
      </c>
      <c r="G67" t="s">
        <v>38</v>
      </c>
      <c r="H67">
        <v>3</v>
      </c>
      <c r="I67">
        <v>81989</v>
      </c>
      <c r="J67" t="s">
        <v>22</v>
      </c>
    </row>
    <row r="68" spans="1:10">
      <c r="A68" t="s">
        <v>234</v>
      </c>
      <c r="B68" s="3">
        <v>45722</v>
      </c>
      <c r="C68" t="s">
        <v>235</v>
      </c>
      <c r="D68" t="s">
        <v>236</v>
      </c>
      <c r="E68" t="s">
        <v>31</v>
      </c>
      <c r="F68" t="s">
        <v>37</v>
      </c>
      <c r="G68" t="s">
        <v>38</v>
      </c>
      <c r="H68">
        <v>4</v>
      </c>
      <c r="I68">
        <v>53760</v>
      </c>
      <c r="J68" t="s">
        <v>22</v>
      </c>
    </row>
    <row r="69" spans="1:10">
      <c r="A69" t="s">
        <v>237</v>
      </c>
      <c r="B69" s="3">
        <v>45700</v>
      </c>
      <c r="C69" t="s">
        <v>238</v>
      </c>
      <c r="D69" t="s">
        <v>239</v>
      </c>
      <c r="E69" t="s">
        <v>31</v>
      </c>
      <c r="F69" t="s">
        <v>26</v>
      </c>
      <c r="G69" t="s">
        <v>27</v>
      </c>
      <c r="H69">
        <v>2</v>
      </c>
      <c r="I69">
        <v>63302</v>
      </c>
      <c r="J69" t="s">
        <v>47</v>
      </c>
    </row>
    <row r="70" spans="1:10">
      <c r="A70" t="s">
        <v>240</v>
      </c>
      <c r="B70" s="3">
        <v>45602</v>
      </c>
      <c r="C70" t="s">
        <v>241</v>
      </c>
      <c r="D70" t="s">
        <v>242</v>
      </c>
      <c r="E70" t="s">
        <v>31</v>
      </c>
      <c r="F70" t="s">
        <v>37</v>
      </c>
      <c r="G70" t="s">
        <v>62</v>
      </c>
      <c r="H70">
        <v>5</v>
      </c>
      <c r="I70">
        <v>9247</v>
      </c>
      <c r="J70" t="s">
        <v>47</v>
      </c>
    </row>
    <row r="71" spans="1:10">
      <c r="A71" t="s">
        <v>243</v>
      </c>
      <c r="B71" s="3">
        <v>45632</v>
      </c>
      <c r="C71" t="s">
        <v>244</v>
      </c>
      <c r="D71" t="s">
        <v>245</v>
      </c>
      <c r="E71" t="s">
        <v>20</v>
      </c>
      <c r="F71" t="s">
        <v>26</v>
      </c>
      <c r="G71" t="s">
        <v>27</v>
      </c>
      <c r="H71">
        <v>5</v>
      </c>
      <c r="I71">
        <v>42170</v>
      </c>
      <c r="J71" t="s">
        <v>33</v>
      </c>
    </row>
    <row r="72" spans="1:10">
      <c r="A72" t="s">
        <v>246</v>
      </c>
      <c r="B72" s="3">
        <v>45775</v>
      </c>
      <c r="C72" t="s">
        <v>247</v>
      </c>
      <c r="D72" t="s">
        <v>248</v>
      </c>
      <c r="E72" t="s">
        <v>13</v>
      </c>
      <c r="F72" t="s">
        <v>45</v>
      </c>
      <c r="G72" t="s">
        <v>51</v>
      </c>
      <c r="H72">
        <v>3</v>
      </c>
      <c r="I72">
        <v>1299</v>
      </c>
      <c r="J72" t="s">
        <v>47</v>
      </c>
    </row>
    <row r="73" spans="1:10">
      <c r="A73" t="s">
        <v>249</v>
      </c>
      <c r="B73" s="3">
        <v>45900</v>
      </c>
      <c r="C73" t="s">
        <v>250</v>
      </c>
      <c r="D73" t="s">
        <v>251</v>
      </c>
      <c r="E73" t="s">
        <v>13</v>
      </c>
      <c r="F73" t="s">
        <v>45</v>
      </c>
      <c r="G73" t="s">
        <v>51</v>
      </c>
      <c r="H73">
        <v>5</v>
      </c>
      <c r="I73">
        <v>3503</v>
      </c>
      <c r="J73" t="s">
        <v>33</v>
      </c>
    </row>
    <row r="74" spans="1:10">
      <c r="A74" t="s">
        <v>252</v>
      </c>
      <c r="B74" s="3">
        <v>45749</v>
      </c>
      <c r="C74" t="s">
        <v>253</v>
      </c>
      <c r="D74" t="s">
        <v>254</v>
      </c>
      <c r="E74" t="s">
        <v>61</v>
      </c>
      <c r="F74" t="s">
        <v>37</v>
      </c>
      <c r="G74" t="s">
        <v>38</v>
      </c>
      <c r="H74">
        <v>4</v>
      </c>
      <c r="I74">
        <v>54957</v>
      </c>
      <c r="J74" t="s">
        <v>33</v>
      </c>
    </row>
    <row r="75" spans="1:10">
      <c r="A75" t="s">
        <v>255</v>
      </c>
      <c r="B75" s="3">
        <v>45912</v>
      </c>
      <c r="C75" t="s">
        <v>256</v>
      </c>
      <c r="D75" t="s">
        <v>257</v>
      </c>
      <c r="E75" t="s">
        <v>61</v>
      </c>
      <c r="F75" t="s">
        <v>37</v>
      </c>
      <c r="G75" t="s">
        <v>38</v>
      </c>
      <c r="H75">
        <v>5</v>
      </c>
      <c r="I75">
        <v>84361</v>
      </c>
      <c r="J75" t="s">
        <v>33</v>
      </c>
    </row>
    <row r="76" spans="1:10">
      <c r="A76" t="s">
        <v>258</v>
      </c>
      <c r="B76" s="3">
        <v>45728</v>
      </c>
      <c r="C76" t="s">
        <v>259</v>
      </c>
      <c r="D76" t="s">
        <v>260</v>
      </c>
      <c r="E76" t="s">
        <v>61</v>
      </c>
      <c r="F76" t="s">
        <v>14</v>
      </c>
      <c r="G76" t="s">
        <v>15</v>
      </c>
      <c r="H76">
        <v>3</v>
      </c>
      <c r="I76">
        <v>71340</v>
      </c>
      <c r="J76" t="s">
        <v>22</v>
      </c>
    </row>
    <row r="77" spans="1:10">
      <c r="A77" t="s">
        <v>261</v>
      </c>
      <c r="B77" s="3">
        <v>45670</v>
      </c>
      <c r="C77" t="s">
        <v>262</v>
      </c>
      <c r="D77" t="s">
        <v>263</v>
      </c>
      <c r="E77" t="s">
        <v>61</v>
      </c>
      <c r="F77" t="s">
        <v>45</v>
      </c>
      <c r="G77" t="s">
        <v>46</v>
      </c>
      <c r="H77">
        <v>1</v>
      </c>
      <c r="I77">
        <v>1916</v>
      </c>
      <c r="J77" t="s">
        <v>22</v>
      </c>
    </row>
    <row r="78" spans="1:10">
      <c r="A78" t="s">
        <v>264</v>
      </c>
      <c r="B78" s="3">
        <v>45784</v>
      </c>
      <c r="C78" t="s">
        <v>265</v>
      </c>
      <c r="D78" t="s">
        <v>266</v>
      </c>
      <c r="E78" t="s">
        <v>61</v>
      </c>
      <c r="F78" t="s">
        <v>26</v>
      </c>
      <c r="G78" t="s">
        <v>124</v>
      </c>
      <c r="H78">
        <v>4</v>
      </c>
      <c r="I78">
        <v>22302</v>
      </c>
      <c r="J78" t="s">
        <v>33</v>
      </c>
    </row>
    <row r="79" spans="1:10">
      <c r="A79" t="s">
        <v>267</v>
      </c>
      <c r="B79" s="3">
        <v>45649</v>
      </c>
      <c r="C79" t="s">
        <v>268</v>
      </c>
      <c r="D79" t="s">
        <v>269</v>
      </c>
      <c r="E79" t="s">
        <v>13</v>
      </c>
      <c r="F79" t="s">
        <v>45</v>
      </c>
      <c r="G79" t="s">
        <v>51</v>
      </c>
      <c r="H79">
        <v>3</v>
      </c>
      <c r="I79">
        <v>2902</v>
      </c>
      <c r="J79" t="s">
        <v>47</v>
      </c>
    </row>
    <row r="80" spans="1:10">
      <c r="A80" t="s">
        <v>270</v>
      </c>
      <c r="B80" s="3">
        <v>45915</v>
      </c>
      <c r="C80" t="s">
        <v>271</v>
      </c>
      <c r="D80" t="s">
        <v>272</v>
      </c>
      <c r="E80" t="s">
        <v>13</v>
      </c>
      <c r="F80" t="s">
        <v>26</v>
      </c>
      <c r="G80" t="s">
        <v>124</v>
      </c>
      <c r="H80">
        <v>5</v>
      </c>
      <c r="I80">
        <v>57647</v>
      </c>
      <c r="J80" t="s">
        <v>22</v>
      </c>
    </row>
    <row r="81" spans="1:10">
      <c r="A81" t="s">
        <v>273</v>
      </c>
      <c r="B81" s="3">
        <v>45711</v>
      </c>
      <c r="C81" t="s">
        <v>274</v>
      </c>
      <c r="D81" t="s">
        <v>275</v>
      </c>
      <c r="E81" t="s">
        <v>61</v>
      </c>
      <c r="F81" t="s">
        <v>14</v>
      </c>
      <c r="G81" t="s">
        <v>21</v>
      </c>
      <c r="H81">
        <v>3</v>
      </c>
      <c r="I81">
        <v>56530</v>
      </c>
      <c r="J81" t="s">
        <v>47</v>
      </c>
    </row>
    <row r="82" spans="1:10">
      <c r="A82" t="s">
        <v>276</v>
      </c>
      <c r="B82" s="3">
        <v>45769</v>
      </c>
      <c r="C82" t="s">
        <v>277</v>
      </c>
      <c r="D82" t="s">
        <v>278</v>
      </c>
      <c r="E82" t="s">
        <v>61</v>
      </c>
      <c r="F82" t="s">
        <v>14</v>
      </c>
      <c r="G82" t="s">
        <v>21</v>
      </c>
      <c r="H82">
        <v>5</v>
      </c>
      <c r="I82">
        <v>127201</v>
      </c>
      <c r="J82" t="s">
        <v>47</v>
      </c>
    </row>
    <row r="83" spans="1:10">
      <c r="A83" t="s">
        <v>279</v>
      </c>
      <c r="B83" s="3">
        <v>45908</v>
      </c>
      <c r="C83" t="s">
        <v>280</v>
      </c>
      <c r="D83" t="s">
        <v>281</v>
      </c>
      <c r="E83" t="s">
        <v>20</v>
      </c>
      <c r="F83" t="s">
        <v>14</v>
      </c>
      <c r="G83" t="s">
        <v>21</v>
      </c>
      <c r="H83">
        <v>4</v>
      </c>
      <c r="I83">
        <v>137279</v>
      </c>
      <c r="J83" t="s">
        <v>16</v>
      </c>
    </row>
    <row r="84" spans="1:10">
      <c r="A84" t="s">
        <v>282</v>
      </c>
      <c r="B84" s="3">
        <v>45852</v>
      </c>
      <c r="C84" t="s">
        <v>283</v>
      </c>
      <c r="D84" t="s">
        <v>284</v>
      </c>
      <c r="E84" t="s">
        <v>61</v>
      </c>
      <c r="F84" t="s">
        <v>45</v>
      </c>
      <c r="G84" t="s">
        <v>144</v>
      </c>
      <c r="H84">
        <v>4</v>
      </c>
      <c r="I84">
        <v>3552</v>
      </c>
      <c r="J84" t="s">
        <v>22</v>
      </c>
    </row>
    <row r="85" spans="1:10">
      <c r="A85" t="s">
        <v>285</v>
      </c>
      <c r="B85" s="3">
        <v>45631</v>
      </c>
      <c r="C85" t="s">
        <v>286</v>
      </c>
      <c r="D85" t="s">
        <v>287</v>
      </c>
      <c r="E85" t="s">
        <v>20</v>
      </c>
      <c r="F85" t="s">
        <v>14</v>
      </c>
      <c r="G85" t="s">
        <v>15</v>
      </c>
      <c r="H85">
        <v>5</v>
      </c>
      <c r="I85">
        <v>17370</v>
      </c>
      <c r="J85" t="s">
        <v>22</v>
      </c>
    </row>
    <row r="86" spans="1:10">
      <c r="A86" t="s">
        <v>288</v>
      </c>
      <c r="B86" s="3">
        <v>45760</v>
      </c>
      <c r="C86" t="s">
        <v>289</v>
      </c>
      <c r="D86" t="s">
        <v>290</v>
      </c>
      <c r="E86" t="s">
        <v>61</v>
      </c>
      <c r="F86" t="s">
        <v>14</v>
      </c>
      <c r="G86" t="s">
        <v>108</v>
      </c>
      <c r="H86">
        <v>1</v>
      </c>
      <c r="I86">
        <v>109961</v>
      </c>
      <c r="J86" t="s">
        <v>22</v>
      </c>
    </row>
    <row r="87" spans="1:10">
      <c r="A87" t="s">
        <v>291</v>
      </c>
      <c r="B87" s="3">
        <v>45579</v>
      </c>
      <c r="C87" t="s">
        <v>292</v>
      </c>
      <c r="D87" t="s">
        <v>293</v>
      </c>
      <c r="E87" t="s">
        <v>61</v>
      </c>
      <c r="F87" t="s">
        <v>26</v>
      </c>
      <c r="G87" t="s">
        <v>294</v>
      </c>
      <c r="H87">
        <v>4</v>
      </c>
      <c r="I87">
        <v>77421</v>
      </c>
      <c r="J87" t="s">
        <v>47</v>
      </c>
    </row>
    <row r="88" spans="1:10">
      <c r="A88" t="s">
        <v>295</v>
      </c>
      <c r="B88" s="3">
        <v>45904</v>
      </c>
      <c r="C88" t="s">
        <v>296</v>
      </c>
      <c r="D88" t="s">
        <v>297</v>
      </c>
      <c r="E88" t="s">
        <v>20</v>
      </c>
      <c r="F88" t="s">
        <v>45</v>
      </c>
      <c r="G88" t="s">
        <v>144</v>
      </c>
      <c r="H88">
        <v>4</v>
      </c>
      <c r="I88">
        <v>3964</v>
      </c>
      <c r="J88" t="s">
        <v>16</v>
      </c>
    </row>
    <row r="89" spans="1:10">
      <c r="A89" t="s">
        <v>298</v>
      </c>
      <c r="B89" s="3">
        <v>45840</v>
      </c>
      <c r="C89" t="s">
        <v>299</v>
      </c>
      <c r="D89" t="s">
        <v>300</v>
      </c>
      <c r="E89" t="s">
        <v>31</v>
      </c>
      <c r="F89" t="s">
        <v>45</v>
      </c>
      <c r="G89" t="s">
        <v>51</v>
      </c>
      <c r="H89">
        <v>3</v>
      </c>
      <c r="I89">
        <v>2045</v>
      </c>
      <c r="J89" t="s">
        <v>33</v>
      </c>
    </row>
    <row r="90" spans="1:10">
      <c r="A90" t="s">
        <v>301</v>
      </c>
      <c r="B90" s="3">
        <v>45756</v>
      </c>
      <c r="C90" t="s">
        <v>302</v>
      </c>
      <c r="D90" t="s">
        <v>303</v>
      </c>
      <c r="E90" t="s">
        <v>61</v>
      </c>
      <c r="F90" t="s">
        <v>14</v>
      </c>
      <c r="G90" t="s">
        <v>32</v>
      </c>
      <c r="H90">
        <v>4</v>
      </c>
      <c r="I90">
        <v>102472</v>
      </c>
      <c r="J90" t="s">
        <v>16</v>
      </c>
    </row>
    <row r="91" spans="1:10">
      <c r="A91" t="s">
        <v>304</v>
      </c>
      <c r="B91" s="3">
        <v>45786</v>
      </c>
      <c r="C91" t="s">
        <v>305</v>
      </c>
      <c r="D91" t="s">
        <v>306</v>
      </c>
      <c r="E91" t="s">
        <v>31</v>
      </c>
      <c r="F91" t="s">
        <v>37</v>
      </c>
      <c r="G91" t="s">
        <v>38</v>
      </c>
      <c r="H91">
        <v>5</v>
      </c>
      <c r="I91">
        <v>45579</v>
      </c>
      <c r="J91" t="s">
        <v>47</v>
      </c>
    </row>
    <row r="92" spans="1:10">
      <c r="A92" t="s">
        <v>307</v>
      </c>
      <c r="B92" s="3">
        <v>45783</v>
      </c>
      <c r="C92" t="s">
        <v>308</v>
      </c>
      <c r="D92" t="s">
        <v>309</v>
      </c>
      <c r="E92" t="s">
        <v>61</v>
      </c>
      <c r="F92" t="s">
        <v>14</v>
      </c>
      <c r="G92" t="s">
        <v>15</v>
      </c>
      <c r="H92">
        <v>5</v>
      </c>
      <c r="I92">
        <v>40515</v>
      </c>
      <c r="J92" t="s">
        <v>16</v>
      </c>
    </row>
    <row r="93" spans="1:10">
      <c r="A93" t="s">
        <v>310</v>
      </c>
      <c r="B93" s="3">
        <v>45760</v>
      </c>
      <c r="C93" t="s">
        <v>311</v>
      </c>
      <c r="D93" t="s">
        <v>312</v>
      </c>
      <c r="E93" t="s">
        <v>13</v>
      </c>
      <c r="F93" t="s">
        <v>45</v>
      </c>
      <c r="G93" t="s">
        <v>144</v>
      </c>
      <c r="H93">
        <v>1</v>
      </c>
      <c r="I93">
        <v>889</v>
      </c>
      <c r="J93" t="s">
        <v>22</v>
      </c>
    </row>
    <row r="94" spans="1:10">
      <c r="A94" t="s">
        <v>313</v>
      </c>
      <c r="B94" s="3">
        <v>45601</v>
      </c>
      <c r="C94" t="s">
        <v>314</v>
      </c>
      <c r="D94" t="s">
        <v>315</v>
      </c>
      <c r="E94" t="s">
        <v>20</v>
      </c>
      <c r="F94" t="s">
        <v>45</v>
      </c>
      <c r="G94" t="s">
        <v>46</v>
      </c>
      <c r="H94">
        <v>1</v>
      </c>
      <c r="I94">
        <v>4607</v>
      </c>
      <c r="J94" t="s">
        <v>16</v>
      </c>
    </row>
    <row r="95" spans="1:10">
      <c r="A95" t="s">
        <v>316</v>
      </c>
      <c r="B95" s="3">
        <v>45793</v>
      </c>
      <c r="C95" t="s">
        <v>317</v>
      </c>
      <c r="D95" t="s">
        <v>318</v>
      </c>
      <c r="E95" t="s">
        <v>20</v>
      </c>
      <c r="F95" t="s">
        <v>14</v>
      </c>
      <c r="G95" t="s">
        <v>21</v>
      </c>
      <c r="H95">
        <v>3</v>
      </c>
      <c r="I95">
        <v>126557</v>
      </c>
      <c r="J95" t="s">
        <v>33</v>
      </c>
    </row>
    <row r="96" spans="1:10">
      <c r="A96" t="s">
        <v>319</v>
      </c>
      <c r="B96" s="3">
        <v>45768</v>
      </c>
      <c r="C96" t="s">
        <v>320</v>
      </c>
      <c r="D96" t="s">
        <v>321</v>
      </c>
      <c r="E96" t="s">
        <v>13</v>
      </c>
      <c r="F96" t="s">
        <v>14</v>
      </c>
      <c r="G96" t="s">
        <v>15</v>
      </c>
      <c r="H96">
        <v>1</v>
      </c>
      <c r="I96">
        <v>93197</v>
      </c>
      <c r="J96" t="s">
        <v>47</v>
      </c>
    </row>
    <row r="97" spans="1:10">
      <c r="A97" t="s">
        <v>322</v>
      </c>
      <c r="B97" s="3">
        <v>45649</v>
      </c>
      <c r="C97" t="s">
        <v>323</v>
      </c>
      <c r="D97" t="s">
        <v>324</v>
      </c>
      <c r="E97" t="s">
        <v>61</v>
      </c>
      <c r="F97" t="s">
        <v>14</v>
      </c>
      <c r="G97" t="s">
        <v>32</v>
      </c>
      <c r="H97">
        <v>1</v>
      </c>
      <c r="I97">
        <v>12770</v>
      </c>
      <c r="J97" t="s">
        <v>47</v>
      </c>
    </row>
    <row r="98" spans="1:10">
      <c r="A98" t="s">
        <v>325</v>
      </c>
      <c r="B98" s="3">
        <v>45841</v>
      </c>
      <c r="C98" t="s">
        <v>326</v>
      </c>
      <c r="D98" t="s">
        <v>327</v>
      </c>
      <c r="E98" t="s">
        <v>61</v>
      </c>
      <c r="F98" t="s">
        <v>14</v>
      </c>
      <c r="G98" t="s">
        <v>15</v>
      </c>
      <c r="H98">
        <v>5</v>
      </c>
      <c r="I98">
        <v>118062</v>
      </c>
      <c r="J98" t="s">
        <v>16</v>
      </c>
    </row>
    <row r="99" spans="1:10">
      <c r="A99" t="s">
        <v>328</v>
      </c>
      <c r="B99" s="3">
        <v>45798</v>
      </c>
      <c r="C99" t="s">
        <v>329</v>
      </c>
      <c r="D99" t="s">
        <v>330</v>
      </c>
      <c r="E99" t="s">
        <v>20</v>
      </c>
      <c r="F99" t="s">
        <v>14</v>
      </c>
      <c r="G99" t="s">
        <v>21</v>
      </c>
      <c r="H99">
        <v>4</v>
      </c>
      <c r="I99">
        <v>15819</v>
      </c>
      <c r="J99" t="s">
        <v>16</v>
      </c>
    </row>
    <row r="100" spans="1:10">
      <c r="A100" t="s">
        <v>331</v>
      </c>
      <c r="B100" s="3">
        <v>45679</v>
      </c>
      <c r="C100" t="s">
        <v>332</v>
      </c>
      <c r="D100" t="s">
        <v>333</v>
      </c>
      <c r="E100" t="s">
        <v>20</v>
      </c>
      <c r="F100" t="s">
        <v>14</v>
      </c>
      <c r="G100" t="s">
        <v>21</v>
      </c>
      <c r="H100">
        <v>1</v>
      </c>
      <c r="I100">
        <v>17994</v>
      </c>
      <c r="J100" t="s">
        <v>33</v>
      </c>
    </row>
    <row r="101" spans="1:10">
      <c r="A101" t="s">
        <v>334</v>
      </c>
      <c r="B101" s="3">
        <v>45726</v>
      </c>
      <c r="C101" t="s">
        <v>335</v>
      </c>
      <c r="D101" t="s">
        <v>336</v>
      </c>
      <c r="E101" t="s">
        <v>61</v>
      </c>
      <c r="F101" t="s">
        <v>37</v>
      </c>
      <c r="G101" t="s">
        <v>78</v>
      </c>
      <c r="H101">
        <v>5</v>
      </c>
      <c r="I101">
        <v>23625</v>
      </c>
      <c r="J101" t="s">
        <v>22</v>
      </c>
    </row>
    <row r="102" spans="1:10">
      <c r="A102" t="s">
        <v>337</v>
      </c>
      <c r="B102" s="3">
        <v>45647</v>
      </c>
      <c r="C102" t="s">
        <v>338</v>
      </c>
      <c r="D102" t="s">
        <v>339</v>
      </c>
      <c r="E102" t="s">
        <v>13</v>
      </c>
      <c r="F102" t="s">
        <v>45</v>
      </c>
      <c r="G102" t="s">
        <v>131</v>
      </c>
      <c r="H102">
        <v>2</v>
      </c>
      <c r="I102">
        <v>4664</v>
      </c>
      <c r="J102" t="s">
        <v>22</v>
      </c>
    </row>
    <row r="103" spans="1:10">
      <c r="A103" t="s">
        <v>340</v>
      </c>
      <c r="B103" s="3">
        <v>45900</v>
      </c>
      <c r="C103" t="s">
        <v>341</v>
      </c>
      <c r="D103" t="s">
        <v>342</v>
      </c>
      <c r="E103" t="s">
        <v>13</v>
      </c>
      <c r="F103" t="s">
        <v>37</v>
      </c>
      <c r="G103" t="s">
        <v>38</v>
      </c>
      <c r="H103">
        <v>5</v>
      </c>
      <c r="I103">
        <v>9598</v>
      </c>
      <c r="J103" t="s">
        <v>33</v>
      </c>
    </row>
    <row r="104" spans="1:10">
      <c r="A104" t="s">
        <v>343</v>
      </c>
      <c r="B104" s="3">
        <v>45665</v>
      </c>
      <c r="C104" t="s">
        <v>344</v>
      </c>
      <c r="D104" t="s">
        <v>345</v>
      </c>
      <c r="E104" t="s">
        <v>20</v>
      </c>
      <c r="F104" t="s">
        <v>45</v>
      </c>
      <c r="G104" t="s">
        <v>131</v>
      </c>
      <c r="H104">
        <v>2</v>
      </c>
      <c r="I104">
        <v>3379</v>
      </c>
      <c r="J104" t="s">
        <v>33</v>
      </c>
    </row>
    <row r="105" spans="1:10">
      <c r="A105" t="s">
        <v>346</v>
      </c>
      <c r="B105" s="3">
        <v>45679</v>
      </c>
      <c r="C105" t="s">
        <v>347</v>
      </c>
      <c r="D105" t="s">
        <v>348</v>
      </c>
      <c r="E105" t="s">
        <v>20</v>
      </c>
      <c r="F105" t="s">
        <v>45</v>
      </c>
      <c r="G105" t="s">
        <v>144</v>
      </c>
      <c r="H105">
        <v>5</v>
      </c>
      <c r="I105">
        <v>1061</v>
      </c>
      <c r="J105" t="s">
        <v>47</v>
      </c>
    </row>
    <row r="106" spans="1:10">
      <c r="A106" t="s">
        <v>349</v>
      </c>
      <c r="B106" s="3">
        <v>45788</v>
      </c>
      <c r="C106" t="s">
        <v>350</v>
      </c>
      <c r="D106" t="s">
        <v>351</v>
      </c>
      <c r="E106" t="s">
        <v>13</v>
      </c>
      <c r="F106" t="s">
        <v>37</v>
      </c>
      <c r="G106" t="s">
        <v>38</v>
      </c>
      <c r="H106">
        <v>4</v>
      </c>
      <c r="I106">
        <v>73497</v>
      </c>
      <c r="J106" t="s">
        <v>33</v>
      </c>
    </row>
    <row r="107" spans="1:10">
      <c r="A107" t="s">
        <v>352</v>
      </c>
      <c r="B107" s="3">
        <v>45894</v>
      </c>
      <c r="C107" t="s">
        <v>353</v>
      </c>
      <c r="D107" t="s">
        <v>354</v>
      </c>
      <c r="E107" t="s">
        <v>61</v>
      </c>
      <c r="F107" t="s">
        <v>37</v>
      </c>
      <c r="G107" t="s">
        <v>62</v>
      </c>
      <c r="H107">
        <v>3</v>
      </c>
      <c r="I107">
        <v>43179</v>
      </c>
      <c r="J107" t="s">
        <v>33</v>
      </c>
    </row>
    <row r="108" spans="1:10">
      <c r="A108" t="s">
        <v>355</v>
      </c>
      <c r="B108" s="3">
        <v>45613</v>
      </c>
      <c r="C108" t="s">
        <v>356</v>
      </c>
      <c r="D108" t="s">
        <v>357</v>
      </c>
      <c r="E108" t="s">
        <v>13</v>
      </c>
      <c r="F108" t="s">
        <v>45</v>
      </c>
      <c r="G108" t="s">
        <v>131</v>
      </c>
      <c r="H108">
        <v>4</v>
      </c>
      <c r="I108">
        <v>3387</v>
      </c>
      <c r="J108" t="s">
        <v>33</v>
      </c>
    </row>
    <row r="109" spans="1:10">
      <c r="A109" t="s">
        <v>358</v>
      </c>
      <c r="B109" s="3">
        <v>45880</v>
      </c>
      <c r="C109" t="s">
        <v>359</v>
      </c>
      <c r="D109" t="s">
        <v>360</v>
      </c>
      <c r="E109" t="s">
        <v>61</v>
      </c>
      <c r="F109" t="s">
        <v>37</v>
      </c>
      <c r="G109" t="s">
        <v>62</v>
      </c>
      <c r="H109">
        <v>3</v>
      </c>
      <c r="I109">
        <v>12220</v>
      </c>
      <c r="J109" t="s">
        <v>22</v>
      </c>
    </row>
    <row r="110" spans="1:10">
      <c r="A110" t="s">
        <v>361</v>
      </c>
      <c r="B110" s="3">
        <v>45757</v>
      </c>
      <c r="C110" t="s">
        <v>362</v>
      </c>
      <c r="D110" t="s">
        <v>363</v>
      </c>
      <c r="E110" t="s">
        <v>31</v>
      </c>
      <c r="F110" t="s">
        <v>45</v>
      </c>
      <c r="G110" t="s">
        <v>46</v>
      </c>
      <c r="H110">
        <v>3</v>
      </c>
      <c r="I110">
        <v>3348</v>
      </c>
      <c r="J110" t="s">
        <v>22</v>
      </c>
    </row>
    <row r="111" spans="1:10">
      <c r="A111" t="s">
        <v>364</v>
      </c>
      <c r="B111" s="3">
        <v>45804</v>
      </c>
      <c r="C111" t="s">
        <v>365</v>
      </c>
      <c r="D111" t="s">
        <v>366</v>
      </c>
      <c r="E111" t="s">
        <v>13</v>
      </c>
      <c r="F111" t="s">
        <v>14</v>
      </c>
      <c r="G111" t="s">
        <v>32</v>
      </c>
      <c r="H111">
        <v>2</v>
      </c>
      <c r="I111">
        <v>58757</v>
      </c>
      <c r="J111" t="s">
        <v>16</v>
      </c>
    </row>
    <row r="112" spans="1:10">
      <c r="A112" t="s">
        <v>367</v>
      </c>
      <c r="B112" s="3">
        <v>45722</v>
      </c>
      <c r="C112" t="s">
        <v>368</v>
      </c>
      <c r="D112" t="s">
        <v>369</v>
      </c>
      <c r="E112" t="s">
        <v>31</v>
      </c>
      <c r="F112" t="s">
        <v>37</v>
      </c>
      <c r="G112" t="s">
        <v>95</v>
      </c>
      <c r="H112">
        <v>4</v>
      </c>
      <c r="I112">
        <v>32247</v>
      </c>
      <c r="J112" t="s">
        <v>16</v>
      </c>
    </row>
    <row r="113" spans="1:10">
      <c r="A113" t="s">
        <v>370</v>
      </c>
      <c r="B113" s="3">
        <v>45901</v>
      </c>
      <c r="C113" t="s">
        <v>371</v>
      </c>
      <c r="D113" t="s">
        <v>372</v>
      </c>
      <c r="E113" t="s">
        <v>31</v>
      </c>
      <c r="F113" t="s">
        <v>37</v>
      </c>
      <c r="G113" t="s">
        <v>62</v>
      </c>
      <c r="H113">
        <v>2</v>
      </c>
      <c r="I113">
        <v>65205</v>
      </c>
      <c r="J113" t="s">
        <v>47</v>
      </c>
    </row>
    <row r="114" spans="1:10">
      <c r="A114" t="s">
        <v>373</v>
      </c>
      <c r="B114" s="3">
        <v>45782</v>
      </c>
      <c r="C114" t="s">
        <v>374</v>
      </c>
      <c r="D114" t="s">
        <v>375</v>
      </c>
      <c r="E114" t="s">
        <v>20</v>
      </c>
      <c r="F114" t="s">
        <v>26</v>
      </c>
      <c r="G114" t="s">
        <v>27</v>
      </c>
      <c r="H114">
        <v>2</v>
      </c>
      <c r="I114">
        <v>24033</v>
      </c>
      <c r="J114" t="s">
        <v>47</v>
      </c>
    </row>
    <row r="115" spans="1:10">
      <c r="A115" t="s">
        <v>376</v>
      </c>
      <c r="B115" s="3">
        <v>45881</v>
      </c>
      <c r="C115" t="s">
        <v>377</v>
      </c>
      <c r="D115" t="s">
        <v>378</v>
      </c>
      <c r="E115" t="s">
        <v>13</v>
      </c>
      <c r="F115" t="s">
        <v>45</v>
      </c>
      <c r="G115" t="s">
        <v>144</v>
      </c>
      <c r="H115">
        <v>2</v>
      </c>
      <c r="I115">
        <v>2180</v>
      </c>
      <c r="J115" t="s">
        <v>47</v>
      </c>
    </row>
    <row r="116" spans="1:10">
      <c r="A116" t="s">
        <v>379</v>
      </c>
      <c r="B116" s="3">
        <v>45585</v>
      </c>
      <c r="C116" t="s">
        <v>380</v>
      </c>
      <c r="D116" t="s">
        <v>381</v>
      </c>
      <c r="E116" t="s">
        <v>20</v>
      </c>
      <c r="F116" t="s">
        <v>26</v>
      </c>
      <c r="G116" t="s">
        <v>27</v>
      </c>
      <c r="H116">
        <v>2</v>
      </c>
      <c r="I116">
        <v>11617</v>
      </c>
      <c r="J116" t="s">
        <v>47</v>
      </c>
    </row>
    <row r="117" spans="1:10">
      <c r="A117" t="s">
        <v>382</v>
      </c>
      <c r="B117" s="3">
        <v>45892</v>
      </c>
      <c r="C117" t="s">
        <v>383</v>
      </c>
      <c r="D117" t="s">
        <v>384</v>
      </c>
      <c r="E117" t="s">
        <v>31</v>
      </c>
      <c r="F117" t="s">
        <v>26</v>
      </c>
      <c r="G117" t="s">
        <v>124</v>
      </c>
      <c r="H117">
        <v>5</v>
      </c>
      <c r="I117">
        <v>55781</v>
      </c>
      <c r="J117" t="s">
        <v>22</v>
      </c>
    </row>
    <row r="118" spans="1:10">
      <c r="A118" t="s">
        <v>385</v>
      </c>
      <c r="B118" s="3">
        <v>45813</v>
      </c>
      <c r="C118" t="s">
        <v>386</v>
      </c>
      <c r="D118" t="s">
        <v>387</v>
      </c>
      <c r="E118" t="s">
        <v>61</v>
      </c>
      <c r="F118" t="s">
        <v>14</v>
      </c>
      <c r="G118" t="s">
        <v>21</v>
      </c>
      <c r="H118">
        <v>3</v>
      </c>
      <c r="I118">
        <v>103218</v>
      </c>
      <c r="J118" t="s">
        <v>16</v>
      </c>
    </row>
    <row r="119" spans="1:10">
      <c r="A119" t="s">
        <v>388</v>
      </c>
      <c r="B119" s="3">
        <v>45777</v>
      </c>
      <c r="C119" t="s">
        <v>389</v>
      </c>
      <c r="D119" t="s">
        <v>390</v>
      </c>
      <c r="E119" t="s">
        <v>13</v>
      </c>
      <c r="F119" t="s">
        <v>45</v>
      </c>
      <c r="G119" t="s">
        <v>51</v>
      </c>
      <c r="H119">
        <v>4</v>
      </c>
      <c r="I119">
        <v>3019</v>
      </c>
      <c r="J119" t="s">
        <v>33</v>
      </c>
    </row>
    <row r="120" spans="1:10">
      <c r="A120" t="s">
        <v>391</v>
      </c>
      <c r="B120" s="3">
        <v>45743</v>
      </c>
      <c r="C120" t="s">
        <v>392</v>
      </c>
      <c r="D120" t="s">
        <v>393</v>
      </c>
      <c r="E120" t="s">
        <v>61</v>
      </c>
      <c r="F120" t="s">
        <v>14</v>
      </c>
      <c r="G120" t="s">
        <v>15</v>
      </c>
      <c r="H120">
        <v>5</v>
      </c>
      <c r="I120">
        <v>10240</v>
      </c>
      <c r="J120" t="s">
        <v>22</v>
      </c>
    </row>
    <row r="121" spans="1:10">
      <c r="A121" t="s">
        <v>394</v>
      </c>
      <c r="B121" s="3">
        <v>45914</v>
      </c>
      <c r="C121" t="s">
        <v>395</v>
      </c>
      <c r="D121" t="s">
        <v>396</v>
      </c>
      <c r="E121" t="s">
        <v>13</v>
      </c>
      <c r="F121" t="s">
        <v>37</v>
      </c>
      <c r="G121" t="s">
        <v>38</v>
      </c>
      <c r="H121">
        <v>1</v>
      </c>
      <c r="I121">
        <v>55229</v>
      </c>
      <c r="J121" t="s">
        <v>22</v>
      </c>
    </row>
    <row r="122" spans="1:10">
      <c r="A122" t="s">
        <v>397</v>
      </c>
      <c r="B122" s="3">
        <v>45813</v>
      </c>
      <c r="C122" t="s">
        <v>398</v>
      </c>
      <c r="D122" t="s">
        <v>399</v>
      </c>
      <c r="E122" t="s">
        <v>20</v>
      </c>
      <c r="F122" t="s">
        <v>37</v>
      </c>
      <c r="G122" t="s">
        <v>38</v>
      </c>
      <c r="H122">
        <v>5</v>
      </c>
      <c r="I122">
        <v>42886</v>
      </c>
      <c r="J122" t="s">
        <v>47</v>
      </c>
    </row>
    <row r="123" spans="1:10">
      <c r="A123" t="s">
        <v>400</v>
      </c>
      <c r="B123" s="3">
        <v>45653</v>
      </c>
      <c r="C123" t="s">
        <v>401</v>
      </c>
      <c r="D123" t="s">
        <v>402</v>
      </c>
      <c r="E123" t="s">
        <v>61</v>
      </c>
      <c r="F123" t="s">
        <v>45</v>
      </c>
      <c r="G123" t="s">
        <v>131</v>
      </c>
      <c r="H123">
        <v>3</v>
      </c>
      <c r="I123">
        <v>513</v>
      </c>
      <c r="J123" t="s">
        <v>33</v>
      </c>
    </row>
    <row r="124" spans="1:10">
      <c r="A124" t="s">
        <v>403</v>
      </c>
      <c r="B124" s="3">
        <v>45916</v>
      </c>
      <c r="C124" t="s">
        <v>404</v>
      </c>
      <c r="D124" t="s">
        <v>405</v>
      </c>
      <c r="E124" t="s">
        <v>13</v>
      </c>
      <c r="F124" t="s">
        <v>37</v>
      </c>
      <c r="G124" t="s">
        <v>95</v>
      </c>
      <c r="H124">
        <v>5</v>
      </c>
      <c r="I124">
        <v>83511</v>
      </c>
      <c r="J124" t="s">
        <v>33</v>
      </c>
    </row>
    <row r="125" spans="1:10">
      <c r="A125" t="s">
        <v>406</v>
      </c>
      <c r="B125" s="3">
        <v>45684</v>
      </c>
      <c r="C125" t="s">
        <v>407</v>
      </c>
      <c r="D125" t="s">
        <v>408</v>
      </c>
      <c r="E125" t="s">
        <v>20</v>
      </c>
      <c r="F125" t="s">
        <v>37</v>
      </c>
      <c r="G125" t="s">
        <v>62</v>
      </c>
      <c r="H125">
        <v>5</v>
      </c>
      <c r="I125">
        <v>36394</v>
      </c>
      <c r="J125" t="s">
        <v>16</v>
      </c>
    </row>
    <row r="126" spans="1:10">
      <c r="A126" t="s">
        <v>409</v>
      </c>
      <c r="B126" s="3">
        <v>45586</v>
      </c>
      <c r="C126" t="s">
        <v>410</v>
      </c>
      <c r="D126" t="s">
        <v>411</v>
      </c>
      <c r="E126" t="s">
        <v>20</v>
      </c>
      <c r="F126" t="s">
        <v>26</v>
      </c>
      <c r="G126" t="s">
        <v>85</v>
      </c>
      <c r="H126">
        <v>1</v>
      </c>
      <c r="I126">
        <v>52583</v>
      </c>
      <c r="J126" t="s">
        <v>47</v>
      </c>
    </row>
    <row r="127" spans="1:10">
      <c r="A127" t="s">
        <v>412</v>
      </c>
      <c r="B127" s="3">
        <v>45758</v>
      </c>
      <c r="C127" t="s">
        <v>413</v>
      </c>
      <c r="D127" t="s">
        <v>414</v>
      </c>
      <c r="E127" t="s">
        <v>31</v>
      </c>
      <c r="F127" t="s">
        <v>37</v>
      </c>
      <c r="G127" t="s">
        <v>62</v>
      </c>
      <c r="H127">
        <v>4</v>
      </c>
      <c r="I127">
        <v>63127</v>
      </c>
      <c r="J127" t="s">
        <v>47</v>
      </c>
    </row>
    <row r="128" spans="1:10">
      <c r="A128" t="s">
        <v>415</v>
      </c>
      <c r="B128" s="3">
        <v>45768</v>
      </c>
      <c r="C128" t="s">
        <v>416</v>
      </c>
      <c r="D128" t="s">
        <v>417</v>
      </c>
      <c r="E128" t="s">
        <v>61</v>
      </c>
      <c r="F128" t="s">
        <v>45</v>
      </c>
      <c r="G128" t="s">
        <v>46</v>
      </c>
      <c r="H128">
        <v>5</v>
      </c>
      <c r="I128">
        <v>3899</v>
      </c>
      <c r="J128" t="s">
        <v>33</v>
      </c>
    </row>
    <row r="129" spans="1:10">
      <c r="A129" t="s">
        <v>418</v>
      </c>
      <c r="B129" s="3">
        <v>45819</v>
      </c>
      <c r="C129" t="s">
        <v>419</v>
      </c>
      <c r="D129" t="s">
        <v>420</v>
      </c>
      <c r="E129" t="s">
        <v>20</v>
      </c>
      <c r="F129" t="s">
        <v>26</v>
      </c>
      <c r="G129" t="s">
        <v>85</v>
      </c>
      <c r="H129">
        <v>2</v>
      </c>
      <c r="I129">
        <v>48498</v>
      </c>
      <c r="J129" t="s">
        <v>47</v>
      </c>
    </row>
    <row r="130" spans="1:10">
      <c r="A130" t="s">
        <v>421</v>
      </c>
      <c r="B130" s="3">
        <v>45786</v>
      </c>
      <c r="C130" t="s">
        <v>422</v>
      </c>
      <c r="D130" t="s">
        <v>423</v>
      </c>
      <c r="E130" t="s">
        <v>61</v>
      </c>
      <c r="F130" t="s">
        <v>26</v>
      </c>
      <c r="G130" t="s">
        <v>27</v>
      </c>
      <c r="H130">
        <v>1</v>
      </c>
      <c r="I130">
        <v>71332</v>
      </c>
      <c r="J130" t="s">
        <v>33</v>
      </c>
    </row>
    <row r="131" spans="1:10">
      <c r="A131" t="s">
        <v>424</v>
      </c>
      <c r="B131" s="3">
        <v>45857</v>
      </c>
      <c r="C131" t="s">
        <v>425</v>
      </c>
      <c r="D131" t="s">
        <v>426</v>
      </c>
      <c r="E131" t="s">
        <v>20</v>
      </c>
      <c r="F131" t="s">
        <v>26</v>
      </c>
      <c r="G131" t="s">
        <v>27</v>
      </c>
      <c r="H131">
        <v>3</v>
      </c>
      <c r="I131">
        <v>51005</v>
      </c>
      <c r="J131" t="s">
        <v>33</v>
      </c>
    </row>
    <row r="132" spans="1:10">
      <c r="A132" t="s">
        <v>427</v>
      </c>
      <c r="B132" s="3">
        <v>45564</v>
      </c>
      <c r="C132" t="s">
        <v>428</v>
      </c>
      <c r="D132" t="s">
        <v>429</v>
      </c>
      <c r="E132" t="s">
        <v>31</v>
      </c>
      <c r="F132" t="s">
        <v>26</v>
      </c>
      <c r="G132" t="s">
        <v>124</v>
      </c>
      <c r="H132">
        <v>3</v>
      </c>
      <c r="I132">
        <v>52362</v>
      </c>
      <c r="J132" t="s">
        <v>33</v>
      </c>
    </row>
    <row r="133" spans="1:10">
      <c r="A133" t="s">
        <v>430</v>
      </c>
      <c r="B133" s="3">
        <v>45772</v>
      </c>
      <c r="C133" t="s">
        <v>431</v>
      </c>
      <c r="D133" t="s">
        <v>432</v>
      </c>
      <c r="E133" t="s">
        <v>13</v>
      </c>
      <c r="F133" t="s">
        <v>26</v>
      </c>
      <c r="G133" t="s">
        <v>124</v>
      </c>
      <c r="H133">
        <v>5</v>
      </c>
      <c r="I133">
        <v>54827</v>
      </c>
      <c r="J133" t="s">
        <v>47</v>
      </c>
    </row>
    <row r="134" spans="1:10">
      <c r="A134" t="s">
        <v>433</v>
      </c>
      <c r="B134" s="3">
        <v>45617</v>
      </c>
      <c r="C134" t="s">
        <v>434</v>
      </c>
      <c r="D134" t="s">
        <v>435</v>
      </c>
      <c r="E134" t="s">
        <v>13</v>
      </c>
      <c r="F134" t="s">
        <v>45</v>
      </c>
      <c r="G134" t="s">
        <v>51</v>
      </c>
      <c r="H134">
        <v>2</v>
      </c>
      <c r="I134">
        <v>2688</v>
      </c>
      <c r="J134" t="s">
        <v>16</v>
      </c>
    </row>
    <row r="135" spans="1:10">
      <c r="A135" t="s">
        <v>436</v>
      </c>
      <c r="B135" s="3">
        <v>45611</v>
      </c>
      <c r="C135" t="s">
        <v>437</v>
      </c>
      <c r="D135" t="s">
        <v>438</v>
      </c>
      <c r="E135" t="s">
        <v>31</v>
      </c>
      <c r="F135" t="s">
        <v>14</v>
      </c>
      <c r="G135" t="s">
        <v>21</v>
      </c>
      <c r="H135">
        <v>3</v>
      </c>
      <c r="I135">
        <v>123502</v>
      </c>
      <c r="J135" t="s">
        <v>22</v>
      </c>
    </row>
    <row r="136" spans="1:10">
      <c r="A136" t="s">
        <v>439</v>
      </c>
      <c r="B136" s="3">
        <v>45654</v>
      </c>
      <c r="C136" t="s">
        <v>440</v>
      </c>
      <c r="D136" t="s">
        <v>441</v>
      </c>
      <c r="E136" t="s">
        <v>31</v>
      </c>
      <c r="F136" t="s">
        <v>37</v>
      </c>
      <c r="G136" t="s">
        <v>62</v>
      </c>
      <c r="H136">
        <v>2</v>
      </c>
      <c r="I136">
        <v>20665</v>
      </c>
      <c r="J136" t="s">
        <v>16</v>
      </c>
    </row>
    <row r="137" spans="1:10">
      <c r="A137" t="s">
        <v>442</v>
      </c>
      <c r="B137" s="3">
        <v>45560</v>
      </c>
      <c r="C137" t="s">
        <v>443</v>
      </c>
      <c r="D137" t="s">
        <v>444</v>
      </c>
      <c r="E137" t="s">
        <v>31</v>
      </c>
      <c r="F137" t="s">
        <v>14</v>
      </c>
      <c r="G137" t="s">
        <v>21</v>
      </c>
      <c r="H137">
        <v>4</v>
      </c>
      <c r="I137">
        <v>43636</v>
      </c>
      <c r="J137" t="s">
        <v>16</v>
      </c>
    </row>
    <row r="138" spans="1:10">
      <c r="A138" t="s">
        <v>445</v>
      </c>
      <c r="B138" s="3">
        <v>45817</v>
      </c>
      <c r="C138" t="s">
        <v>446</v>
      </c>
      <c r="D138" t="s">
        <v>447</v>
      </c>
      <c r="E138" t="s">
        <v>61</v>
      </c>
      <c r="F138" t="s">
        <v>45</v>
      </c>
      <c r="G138" t="s">
        <v>144</v>
      </c>
      <c r="H138">
        <v>1</v>
      </c>
      <c r="I138">
        <v>3837</v>
      </c>
      <c r="J138" t="s">
        <v>16</v>
      </c>
    </row>
    <row r="139" spans="1:10">
      <c r="A139" t="s">
        <v>448</v>
      </c>
      <c r="B139" s="3">
        <v>45566</v>
      </c>
      <c r="C139" t="s">
        <v>449</v>
      </c>
      <c r="D139" t="s">
        <v>450</v>
      </c>
      <c r="E139" t="s">
        <v>20</v>
      </c>
      <c r="F139" t="s">
        <v>26</v>
      </c>
      <c r="G139" t="s">
        <v>124</v>
      </c>
      <c r="H139">
        <v>1</v>
      </c>
      <c r="I139">
        <v>16680</v>
      </c>
      <c r="J139" t="s">
        <v>22</v>
      </c>
    </row>
    <row r="140" spans="1:10">
      <c r="A140" t="s">
        <v>451</v>
      </c>
      <c r="B140" s="3">
        <v>45780</v>
      </c>
      <c r="C140" t="s">
        <v>452</v>
      </c>
      <c r="D140" t="s">
        <v>453</v>
      </c>
      <c r="E140" t="s">
        <v>20</v>
      </c>
      <c r="F140" t="s">
        <v>45</v>
      </c>
      <c r="G140" t="s">
        <v>51</v>
      </c>
      <c r="H140">
        <v>5</v>
      </c>
      <c r="I140">
        <v>2554</v>
      </c>
      <c r="J140" t="s">
        <v>22</v>
      </c>
    </row>
    <row r="141" spans="1:10">
      <c r="A141" t="s">
        <v>454</v>
      </c>
      <c r="B141" s="3">
        <v>45607</v>
      </c>
      <c r="C141" t="s">
        <v>455</v>
      </c>
      <c r="D141" t="s">
        <v>456</v>
      </c>
      <c r="E141" t="s">
        <v>13</v>
      </c>
      <c r="F141" t="s">
        <v>37</v>
      </c>
      <c r="G141" t="s">
        <v>95</v>
      </c>
      <c r="H141">
        <v>5</v>
      </c>
      <c r="I141">
        <v>72445</v>
      </c>
      <c r="J141" t="s">
        <v>16</v>
      </c>
    </row>
    <row r="142" spans="1:10">
      <c r="A142" t="s">
        <v>457</v>
      </c>
      <c r="B142" s="3">
        <v>45751</v>
      </c>
      <c r="C142" t="s">
        <v>458</v>
      </c>
      <c r="D142" t="s">
        <v>459</v>
      </c>
      <c r="E142" t="s">
        <v>61</v>
      </c>
      <c r="F142" t="s">
        <v>37</v>
      </c>
      <c r="G142" t="s">
        <v>38</v>
      </c>
      <c r="H142">
        <v>5</v>
      </c>
      <c r="I142">
        <v>25914</v>
      </c>
      <c r="J142" t="s">
        <v>33</v>
      </c>
    </row>
    <row r="143" spans="1:10">
      <c r="A143" t="s">
        <v>460</v>
      </c>
      <c r="B143" s="3">
        <v>45816</v>
      </c>
      <c r="C143" t="s">
        <v>461</v>
      </c>
      <c r="D143" t="s">
        <v>462</v>
      </c>
      <c r="E143" t="s">
        <v>13</v>
      </c>
      <c r="F143" t="s">
        <v>14</v>
      </c>
      <c r="G143" t="s">
        <v>15</v>
      </c>
      <c r="H143">
        <v>1</v>
      </c>
      <c r="I143">
        <v>133269</v>
      </c>
      <c r="J143" t="s">
        <v>47</v>
      </c>
    </row>
    <row r="144" spans="1:10">
      <c r="A144" t="s">
        <v>463</v>
      </c>
      <c r="B144" s="3">
        <v>45787</v>
      </c>
      <c r="C144" t="s">
        <v>464</v>
      </c>
      <c r="D144" t="s">
        <v>465</v>
      </c>
      <c r="E144" t="s">
        <v>13</v>
      </c>
      <c r="F144" t="s">
        <v>37</v>
      </c>
      <c r="G144" t="s">
        <v>78</v>
      </c>
      <c r="H144">
        <v>5</v>
      </c>
      <c r="I144">
        <v>66123</v>
      </c>
      <c r="J144" t="s">
        <v>47</v>
      </c>
    </row>
    <row r="145" spans="1:10">
      <c r="A145" t="s">
        <v>466</v>
      </c>
      <c r="B145" s="3">
        <v>45857</v>
      </c>
      <c r="C145" t="s">
        <v>467</v>
      </c>
      <c r="D145" t="s">
        <v>468</v>
      </c>
      <c r="E145" t="s">
        <v>13</v>
      </c>
      <c r="F145" t="s">
        <v>45</v>
      </c>
      <c r="G145" t="s">
        <v>46</v>
      </c>
      <c r="H145">
        <v>1</v>
      </c>
      <c r="I145">
        <v>3417</v>
      </c>
      <c r="J145" t="s">
        <v>22</v>
      </c>
    </row>
    <row r="146" spans="1:10">
      <c r="A146" t="s">
        <v>469</v>
      </c>
      <c r="B146" s="3">
        <v>45577</v>
      </c>
      <c r="C146" t="s">
        <v>470</v>
      </c>
      <c r="D146" t="s">
        <v>471</v>
      </c>
      <c r="E146" t="s">
        <v>61</v>
      </c>
      <c r="F146" t="s">
        <v>45</v>
      </c>
      <c r="G146" t="s">
        <v>144</v>
      </c>
      <c r="H146">
        <v>1</v>
      </c>
      <c r="I146">
        <v>1167</v>
      </c>
      <c r="J146" t="s">
        <v>22</v>
      </c>
    </row>
    <row r="147" spans="1:10">
      <c r="A147" t="s">
        <v>472</v>
      </c>
      <c r="B147" s="3">
        <v>45680</v>
      </c>
      <c r="C147" t="s">
        <v>473</v>
      </c>
      <c r="D147" t="s">
        <v>474</v>
      </c>
      <c r="E147" t="s">
        <v>13</v>
      </c>
      <c r="F147" t="s">
        <v>14</v>
      </c>
      <c r="G147" t="s">
        <v>108</v>
      </c>
      <c r="H147">
        <v>2</v>
      </c>
      <c r="I147">
        <v>26898</v>
      </c>
      <c r="J147" t="s">
        <v>33</v>
      </c>
    </row>
    <row r="148" spans="1:10">
      <c r="A148" t="s">
        <v>475</v>
      </c>
      <c r="B148" s="3">
        <v>45780</v>
      </c>
      <c r="C148" t="s">
        <v>476</v>
      </c>
      <c r="D148" t="s">
        <v>477</v>
      </c>
      <c r="E148" t="s">
        <v>13</v>
      </c>
      <c r="F148" t="s">
        <v>14</v>
      </c>
      <c r="G148" t="s">
        <v>21</v>
      </c>
      <c r="H148">
        <v>5</v>
      </c>
      <c r="I148">
        <v>18709</v>
      </c>
      <c r="J148" t="s">
        <v>16</v>
      </c>
    </row>
    <row r="149" spans="1:10">
      <c r="A149" t="s">
        <v>478</v>
      </c>
      <c r="B149" s="3">
        <v>45601</v>
      </c>
      <c r="C149" t="s">
        <v>479</v>
      </c>
      <c r="D149" t="s">
        <v>480</v>
      </c>
      <c r="E149" t="s">
        <v>20</v>
      </c>
      <c r="F149" t="s">
        <v>14</v>
      </c>
      <c r="G149" t="s">
        <v>108</v>
      </c>
      <c r="H149">
        <v>2</v>
      </c>
      <c r="I149">
        <v>145956</v>
      </c>
      <c r="J149" t="s">
        <v>47</v>
      </c>
    </row>
    <row r="150" spans="1:10">
      <c r="A150" t="s">
        <v>481</v>
      </c>
      <c r="B150" s="3">
        <v>45768</v>
      </c>
      <c r="C150" t="s">
        <v>482</v>
      </c>
      <c r="D150" t="s">
        <v>483</v>
      </c>
      <c r="E150" t="s">
        <v>13</v>
      </c>
      <c r="F150" t="s">
        <v>14</v>
      </c>
      <c r="G150" t="s">
        <v>32</v>
      </c>
      <c r="H150">
        <v>2</v>
      </c>
      <c r="I150">
        <v>119981</v>
      </c>
      <c r="J150" t="s">
        <v>33</v>
      </c>
    </row>
    <row r="151" spans="1:10">
      <c r="A151" t="s">
        <v>484</v>
      </c>
      <c r="B151" s="3">
        <v>45875</v>
      </c>
      <c r="C151" t="s">
        <v>485</v>
      </c>
      <c r="D151" t="s">
        <v>486</v>
      </c>
      <c r="E151" t="s">
        <v>20</v>
      </c>
      <c r="F151" t="s">
        <v>45</v>
      </c>
      <c r="G151" t="s">
        <v>144</v>
      </c>
      <c r="H151">
        <v>1</v>
      </c>
      <c r="I151">
        <v>2992</v>
      </c>
      <c r="J151" t="s">
        <v>33</v>
      </c>
    </row>
    <row r="152" spans="1:10">
      <c r="A152" t="s">
        <v>487</v>
      </c>
      <c r="B152" s="3">
        <v>45803</v>
      </c>
      <c r="C152" t="s">
        <v>488</v>
      </c>
      <c r="D152" t="s">
        <v>489</v>
      </c>
      <c r="E152" t="s">
        <v>61</v>
      </c>
      <c r="F152" t="s">
        <v>37</v>
      </c>
      <c r="G152" t="s">
        <v>62</v>
      </c>
      <c r="H152">
        <v>4</v>
      </c>
      <c r="I152">
        <v>61301</v>
      </c>
      <c r="J152" t="s">
        <v>33</v>
      </c>
    </row>
    <row r="153" spans="1:10">
      <c r="A153" t="s">
        <v>490</v>
      </c>
      <c r="B153" s="3">
        <v>45680</v>
      </c>
      <c r="C153" t="s">
        <v>491</v>
      </c>
      <c r="D153" t="s">
        <v>492</v>
      </c>
      <c r="E153" t="s">
        <v>61</v>
      </c>
      <c r="F153" t="s">
        <v>14</v>
      </c>
      <c r="G153" t="s">
        <v>15</v>
      </c>
      <c r="H153">
        <v>4</v>
      </c>
      <c r="I153">
        <v>143673</v>
      </c>
      <c r="J153" t="s">
        <v>33</v>
      </c>
    </row>
    <row r="154" spans="1:10">
      <c r="A154" t="s">
        <v>493</v>
      </c>
      <c r="B154" s="3">
        <v>45657</v>
      </c>
      <c r="C154" t="s">
        <v>494</v>
      </c>
      <c r="D154" t="s">
        <v>495</v>
      </c>
      <c r="E154" t="s">
        <v>61</v>
      </c>
      <c r="F154" t="s">
        <v>14</v>
      </c>
      <c r="G154" t="s">
        <v>32</v>
      </c>
      <c r="H154">
        <v>1</v>
      </c>
      <c r="I154">
        <v>47226</v>
      </c>
      <c r="J154" t="s">
        <v>22</v>
      </c>
    </row>
    <row r="155" spans="1:10">
      <c r="A155" t="s">
        <v>496</v>
      </c>
      <c r="B155" s="3">
        <v>45694</v>
      </c>
      <c r="C155" t="s">
        <v>497</v>
      </c>
      <c r="D155" t="s">
        <v>498</v>
      </c>
      <c r="E155" t="s">
        <v>20</v>
      </c>
      <c r="F155" t="s">
        <v>26</v>
      </c>
      <c r="G155" t="s">
        <v>27</v>
      </c>
      <c r="H155">
        <v>4</v>
      </c>
      <c r="I155">
        <v>43254</v>
      </c>
      <c r="J155" t="s">
        <v>33</v>
      </c>
    </row>
    <row r="156" spans="1:10">
      <c r="A156" t="s">
        <v>499</v>
      </c>
      <c r="B156" s="3">
        <v>45561</v>
      </c>
      <c r="C156" t="s">
        <v>500</v>
      </c>
      <c r="D156" t="s">
        <v>501</v>
      </c>
      <c r="E156" t="s">
        <v>31</v>
      </c>
      <c r="F156" t="s">
        <v>45</v>
      </c>
      <c r="G156" t="s">
        <v>46</v>
      </c>
      <c r="H156">
        <v>1</v>
      </c>
      <c r="I156">
        <v>3621</v>
      </c>
      <c r="J156" t="s">
        <v>47</v>
      </c>
    </row>
    <row r="157" spans="1:10">
      <c r="A157" t="s">
        <v>502</v>
      </c>
      <c r="B157" s="3">
        <v>45682</v>
      </c>
      <c r="C157" t="s">
        <v>503</v>
      </c>
      <c r="D157" t="s">
        <v>504</v>
      </c>
      <c r="E157" t="s">
        <v>61</v>
      </c>
      <c r="F157" t="s">
        <v>14</v>
      </c>
      <c r="G157" t="s">
        <v>108</v>
      </c>
      <c r="H157">
        <v>2</v>
      </c>
      <c r="I157">
        <v>69152</v>
      </c>
      <c r="J157" t="s">
        <v>33</v>
      </c>
    </row>
    <row r="158" spans="1:10">
      <c r="A158" t="s">
        <v>505</v>
      </c>
      <c r="B158" s="3">
        <v>45832</v>
      </c>
      <c r="C158" t="s">
        <v>506</v>
      </c>
      <c r="D158" t="s">
        <v>507</v>
      </c>
      <c r="E158" t="s">
        <v>31</v>
      </c>
      <c r="F158" t="s">
        <v>26</v>
      </c>
      <c r="G158" t="s">
        <v>124</v>
      </c>
      <c r="H158">
        <v>3</v>
      </c>
      <c r="I158">
        <v>18314</v>
      </c>
      <c r="J158" t="s">
        <v>33</v>
      </c>
    </row>
    <row r="159" spans="1:10">
      <c r="A159" t="s">
        <v>508</v>
      </c>
      <c r="B159" s="3">
        <v>45607</v>
      </c>
      <c r="C159" t="s">
        <v>509</v>
      </c>
      <c r="D159" t="s">
        <v>510</v>
      </c>
      <c r="E159" t="s">
        <v>61</v>
      </c>
      <c r="F159" t="s">
        <v>45</v>
      </c>
      <c r="G159" t="s">
        <v>131</v>
      </c>
      <c r="H159">
        <v>1</v>
      </c>
      <c r="I159">
        <v>4364</v>
      </c>
      <c r="J159" t="s">
        <v>33</v>
      </c>
    </row>
    <row r="160" spans="1:10">
      <c r="A160" t="s">
        <v>511</v>
      </c>
      <c r="B160" s="3">
        <v>45856</v>
      </c>
      <c r="C160" t="s">
        <v>512</v>
      </c>
      <c r="D160" t="s">
        <v>513</v>
      </c>
      <c r="E160" t="s">
        <v>20</v>
      </c>
      <c r="F160" t="s">
        <v>45</v>
      </c>
      <c r="G160" t="s">
        <v>46</v>
      </c>
      <c r="H160">
        <v>3</v>
      </c>
      <c r="I160">
        <v>2103</v>
      </c>
      <c r="J160" t="s">
        <v>22</v>
      </c>
    </row>
    <row r="161" spans="1:10">
      <c r="A161" t="s">
        <v>514</v>
      </c>
      <c r="B161" s="3">
        <v>45848</v>
      </c>
      <c r="C161" t="s">
        <v>515</v>
      </c>
      <c r="D161" t="s">
        <v>516</v>
      </c>
      <c r="E161" t="s">
        <v>13</v>
      </c>
      <c r="F161" t="s">
        <v>37</v>
      </c>
      <c r="G161" t="s">
        <v>78</v>
      </c>
      <c r="H161">
        <v>1</v>
      </c>
      <c r="I161">
        <v>57021</v>
      </c>
      <c r="J161" t="s">
        <v>16</v>
      </c>
    </row>
    <row r="162" spans="1:10">
      <c r="A162" t="s">
        <v>517</v>
      </c>
      <c r="B162" s="3">
        <v>45556</v>
      </c>
      <c r="C162" t="s">
        <v>518</v>
      </c>
      <c r="D162" t="s">
        <v>519</v>
      </c>
      <c r="E162" t="s">
        <v>31</v>
      </c>
      <c r="F162" t="s">
        <v>45</v>
      </c>
      <c r="G162" t="s">
        <v>46</v>
      </c>
      <c r="H162">
        <v>1</v>
      </c>
      <c r="I162">
        <v>2726</v>
      </c>
      <c r="J162" t="s">
        <v>22</v>
      </c>
    </row>
    <row r="163" spans="1:10">
      <c r="A163" t="s">
        <v>520</v>
      </c>
      <c r="B163" s="3">
        <v>45581</v>
      </c>
      <c r="C163" t="s">
        <v>521</v>
      </c>
      <c r="D163" t="s">
        <v>522</v>
      </c>
      <c r="E163" t="s">
        <v>20</v>
      </c>
      <c r="F163" t="s">
        <v>26</v>
      </c>
      <c r="G163" t="s">
        <v>27</v>
      </c>
      <c r="H163">
        <v>1</v>
      </c>
      <c r="I163">
        <v>79166</v>
      </c>
      <c r="J163" t="s">
        <v>33</v>
      </c>
    </row>
    <row r="164" spans="1:10">
      <c r="A164" t="s">
        <v>523</v>
      </c>
      <c r="B164" s="3">
        <v>45677</v>
      </c>
      <c r="C164" t="s">
        <v>524</v>
      </c>
      <c r="D164" t="s">
        <v>525</v>
      </c>
      <c r="E164" t="s">
        <v>61</v>
      </c>
      <c r="F164" t="s">
        <v>14</v>
      </c>
      <c r="G164" t="s">
        <v>32</v>
      </c>
      <c r="H164">
        <v>3</v>
      </c>
      <c r="I164">
        <v>131870</v>
      </c>
      <c r="J164" t="s">
        <v>47</v>
      </c>
    </row>
    <row r="165" spans="1:10">
      <c r="A165" t="s">
        <v>526</v>
      </c>
      <c r="B165" s="3">
        <v>45763</v>
      </c>
      <c r="C165" t="s">
        <v>527</v>
      </c>
      <c r="D165" t="s">
        <v>528</v>
      </c>
      <c r="E165" t="s">
        <v>20</v>
      </c>
      <c r="F165" t="s">
        <v>14</v>
      </c>
      <c r="G165" t="s">
        <v>108</v>
      </c>
      <c r="H165">
        <v>2</v>
      </c>
      <c r="I165">
        <v>143284</v>
      </c>
      <c r="J165" t="s">
        <v>33</v>
      </c>
    </row>
    <row r="166" spans="1:10">
      <c r="A166" t="s">
        <v>529</v>
      </c>
      <c r="B166" s="3">
        <v>45817</v>
      </c>
      <c r="C166" t="s">
        <v>530</v>
      </c>
      <c r="D166" t="s">
        <v>531</v>
      </c>
      <c r="E166" t="s">
        <v>13</v>
      </c>
      <c r="F166" t="s">
        <v>37</v>
      </c>
      <c r="G166" t="s">
        <v>95</v>
      </c>
      <c r="H166">
        <v>2</v>
      </c>
      <c r="I166">
        <v>64523</v>
      </c>
      <c r="J166" t="s">
        <v>16</v>
      </c>
    </row>
    <row r="167" spans="1:10">
      <c r="A167" t="s">
        <v>532</v>
      </c>
      <c r="B167" s="3">
        <v>45611</v>
      </c>
      <c r="C167" t="s">
        <v>533</v>
      </c>
      <c r="D167" t="s">
        <v>534</v>
      </c>
      <c r="E167" t="s">
        <v>31</v>
      </c>
      <c r="F167" t="s">
        <v>37</v>
      </c>
      <c r="G167" t="s">
        <v>95</v>
      </c>
      <c r="H167">
        <v>5</v>
      </c>
      <c r="I167">
        <v>91603</v>
      </c>
      <c r="J167" t="s">
        <v>33</v>
      </c>
    </row>
    <row r="168" spans="1:10">
      <c r="A168" t="s">
        <v>535</v>
      </c>
      <c r="B168" s="3">
        <v>45706</v>
      </c>
      <c r="C168" t="s">
        <v>536</v>
      </c>
      <c r="D168" t="s">
        <v>537</v>
      </c>
      <c r="E168" t="s">
        <v>13</v>
      </c>
      <c r="F168" t="s">
        <v>14</v>
      </c>
      <c r="G168" t="s">
        <v>32</v>
      </c>
      <c r="H168">
        <v>4</v>
      </c>
      <c r="I168">
        <v>104067</v>
      </c>
      <c r="J168" t="s">
        <v>22</v>
      </c>
    </row>
    <row r="169" spans="1:10">
      <c r="A169" t="s">
        <v>538</v>
      </c>
      <c r="B169" s="3">
        <v>45629</v>
      </c>
      <c r="C169" t="s">
        <v>539</v>
      </c>
      <c r="D169" t="s">
        <v>540</v>
      </c>
      <c r="E169" t="s">
        <v>31</v>
      </c>
      <c r="F169" t="s">
        <v>14</v>
      </c>
      <c r="G169" t="s">
        <v>15</v>
      </c>
      <c r="H169">
        <v>5</v>
      </c>
      <c r="I169">
        <v>86285</v>
      </c>
      <c r="J169" t="s">
        <v>47</v>
      </c>
    </row>
    <row r="170" spans="1:10">
      <c r="A170" t="s">
        <v>541</v>
      </c>
      <c r="B170" s="3">
        <v>45845</v>
      </c>
      <c r="C170" t="s">
        <v>542</v>
      </c>
      <c r="D170" t="s">
        <v>543</v>
      </c>
      <c r="E170" t="s">
        <v>13</v>
      </c>
      <c r="F170" t="s">
        <v>45</v>
      </c>
      <c r="G170" t="s">
        <v>46</v>
      </c>
      <c r="H170">
        <v>1</v>
      </c>
      <c r="I170">
        <v>1719</v>
      </c>
      <c r="J170" t="s">
        <v>33</v>
      </c>
    </row>
    <row r="171" spans="1:10">
      <c r="A171" t="s">
        <v>544</v>
      </c>
      <c r="B171" s="3">
        <v>45694</v>
      </c>
      <c r="C171" t="s">
        <v>545</v>
      </c>
      <c r="D171" t="s">
        <v>546</v>
      </c>
      <c r="E171" t="s">
        <v>61</v>
      </c>
      <c r="F171" t="s">
        <v>26</v>
      </c>
      <c r="G171" t="s">
        <v>294</v>
      </c>
      <c r="H171">
        <v>5</v>
      </c>
      <c r="I171">
        <v>54404</v>
      </c>
      <c r="J171" t="s">
        <v>22</v>
      </c>
    </row>
    <row r="172" spans="1:10">
      <c r="A172" t="s">
        <v>547</v>
      </c>
      <c r="B172" s="3">
        <v>45607</v>
      </c>
      <c r="C172" t="s">
        <v>548</v>
      </c>
      <c r="D172" t="s">
        <v>549</v>
      </c>
      <c r="E172" t="s">
        <v>61</v>
      </c>
      <c r="F172" t="s">
        <v>26</v>
      </c>
      <c r="G172" t="s">
        <v>294</v>
      </c>
      <c r="H172">
        <v>5</v>
      </c>
      <c r="I172">
        <v>64595</v>
      </c>
      <c r="J172" t="s">
        <v>22</v>
      </c>
    </row>
    <row r="173" spans="1:10">
      <c r="A173" t="s">
        <v>550</v>
      </c>
      <c r="B173" s="3">
        <v>45799</v>
      </c>
      <c r="C173" t="s">
        <v>551</v>
      </c>
      <c r="D173" t="s">
        <v>552</v>
      </c>
      <c r="E173" t="s">
        <v>31</v>
      </c>
      <c r="F173" t="s">
        <v>26</v>
      </c>
      <c r="G173" t="s">
        <v>27</v>
      </c>
      <c r="H173">
        <v>2</v>
      </c>
      <c r="I173">
        <v>36451</v>
      </c>
      <c r="J173" t="s">
        <v>33</v>
      </c>
    </row>
    <row r="174" spans="1:10">
      <c r="A174" t="s">
        <v>553</v>
      </c>
      <c r="B174" s="3">
        <v>45628</v>
      </c>
      <c r="C174" t="s">
        <v>554</v>
      </c>
      <c r="D174" t="s">
        <v>555</v>
      </c>
      <c r="E174" t="s">
        <v>20</v>
      </c>
      <c r="F174" t="s">
        <v>37</v>
      </c>
      <c r="G174" t="s">
        <v>62</v>
      </c>
      <c r="H174">
        <v>3</v>
      </c>
      <c r="I174">
        <v>50900</v>
      </c>
      <c r="J174" t="s">
        <v>47</v>
      </c>
    </row>
    <row r="175" spans="1:10">
      <c r="A175" t="s">
        <v>556</v>
      </c>
      <c r="B175" s="3">
        <v>45842</v>
      </c>
      <c r="C175" t="s">
        <v>557</v>
      </c>
      <c r="D175" t="s">
        <v>558</v>
      </c>
      <c r="E175" t="s">
        <v>61</v>
      </c>
      <c r="F175" t="s">
        <v>45</v>
      </c>
      <c r="G175" t="s">
        <v>46</v>
      </c>
      <c r="H175">
        <v>1</v>
      </c>
      <c r="I175">
        <v>3891</v>
      </c>
      <c r="J175" t="s">
        <v>47</v>
      </c>
    </row>
    <row r="176" spans="1:10">
      <c r="A176" t="s">
        <v>559</v>
      </c>
      <c r="B176" s="3">
        <v>45845</v>
      </c>
      <c r="C176" t="s">
        <v>560</v>
      </c>
      <c r="D176" t="s">
        <v>561</v>
      </c>
      <c r="E176" t="s">
        <v>31</v>
      </c>
      <c r="F176" t="s">
        <v>14</v>
      </c>
      <c r="G176" t="s">
        <v>32</v>
      </c>
      <c r="H176">
        <v>4</v>
      </c>
      <c r="I176">
        <v>12973</v>
      </c>
      <c r="J176" t="s">
        <v>22</v>
      </c>
    </row>
    <row r="177" spans="1:10">
      <c r="A177" t="s">
        <v>562</v>
      </c>
      <c r="B177" s="3">
        <v>45625</v>
      </c>
      <c r="C177" t="s">
        <v>563</v>
      </c>
      <c r="D177" t="s">
        <v>564</v>
      </c>
      <c r="E177" t="s">
        <v>20</v>
      </c>
      <c r="F177" t="s">
        <v>45</v>
      </c>
      <c r="G177" t="s">
        <v>144</v>
      </c>
      <c r="H177">
        <v>5</v>
      </c>
      <c r="I177">
        <v>560</v>
      </c>
      <c r="J177" t="s">
        <v>16</v>
      </c>
    </row>
    <row r="178" spans="1:10">
      <c r="A178" t="s">
        <v>565</v>
      </c>
      <c r="B178" s="3">
        <v>45732</v>
      </c>
      <c r="C178" t="s">
        <v>566</v>
      </c>
      <c r="D178" t="s">
        <v>567</v>
      </c>
      <c r="E178" t="s">
        <v>61</v>
      </c>
      <c r="F178" t="s">
        <v>14</v>
      </c>
      <c r="G178" t="s">
        <v>15</v>
      </c>
      <c r="H178">
        <v>5</v>
      </c>
      <c r="I178">
        <v>95918</v>
      </c>
      <c r="J178" t="s">
        <v>47</v>
      </c>
    </row>
    <row r="179" spans="1:10">
      <c r="A179" t="s">
        <v>568</v>
      </c>
      <c r="B179" s="3">
        <v>45906</v>
      </c>
      <c r="C179" t="s">
        <v>569</v>
      </c>
      <c r="D179" t="s">
        <v>570</v>
      </c>
      <c r="E179" t="s">
        <v>61</v>
      </c>
      <c r="F179" t="s">
        <v>45</v>
      </c>
      <c r="G179" t="s">
        <v>46</v>
      </c>
      <c r="H179">
        <v>1</v>
      </c>
      <c r="I179">
        <v>799</v>
      </c>
      <c r="J179" t="s">
        <v>47</v>
      </c>
    </row>
    <row r="180" spans="1:10">
      <c r="A180" t="s">
        <v>571</v>
      </c>
      <c r="B180" s="3">
        <v>45908</v>
      </c>
      <c r="C180" t="s">
        <v>572</v>
      </c>
      <c r="D180" t="s">
        <v>573</v>
      </c>
      <c r="E180" t="s">
        <v>13</v>
      </c>
      <c r="F180" t="s">
        <v>26</v>
      </c>
      <c r="G180" t="s">
        <v>124</v>
      </c>
      <c r="H180">
        <v>3</v>
      </c>
      <c r="I180">
        <v>72077</v>
      </c>
      <c r="J180" t="s">
        <v>47</v>
      </c>
    </row>
    <row r="181" spans="1:10">
      <c r="A181" t="s">
        <v>574</v>
      </c>
      <c r="B181" s="3">
        <v>45913</v>
      </c>
      <c r="C181" t="s">
        <v>575</v>
      </c>
      <c r="D181" t="s">
        <v>576</v>
      </c>
      <c r="E181" t="s">
        <v>13</v>
      </c>
      <c r="F181" t="s">
        <v>45</v>
      </c>
      <c r="G181" t="s">
        <v>51</v>
      </c>
      <c r="H181">
        <v>2</v>
      </c>
      <c r="I181">
        <v>2276</v>
      </c>
      <c r="J181" t="s">
        <v>16</v>
      </c>
    </row>
    <row r="182" spans="1:10">
      <c r="A182" t="s">
        <v>577</v>
      </c>
      <c r="B182" s="3">
        <v>45653</v>
      </c>
      <c r="C182" t="s">
        <v>578</v>
      </c>
      <c r="D182" t="s">
        <v>579</v>
      </c>
      <c r="E182" t="s">
        <v>31</v>
      </c>
      <c r="F182" t="s">
        <v>45</v>
      </c>
      <c r="G182" t="s">
        <v>131</v>
      </c>
      <c r="H182">
        <v>5</v>
      </c>
      <c r="I182">
        <v>514</v>
      </c>
      <c r="J182" t="s">
        <v>33</v>
      </c>
    </row>
    <row r="183" spans="1:10">
      <c r="A183" t="s">
        <v>580</v>
      </c>
      <c r="B183" s="3">
        <v>45687</v>
      </c>
      <c r="C183" t="s">
        <v>581</v>
      </c>
      <c r="D183" t="s">
        <v>582</v>
      </c>
      <c r="E183" t="s">
        <v>13</v>
      </c>
      <c r="F183" t="s">
        <v>45</v>
      </c>
      <c r="G183" t="s">
        <v>144</v>
      </c>
      <c r="H183">
        <v>3</v>
      </c>
      <c r="I183">
        <v>2007</v>
      </c>
      <c r="J183" t="s">
        <v>22</v>
      </c>
    </row>
    <row r="184" spans="1:10">
      <c r="A184" t="s">
        <v>583</v>
      </c>
      <c r="B184" s="3">
        <v>45619</v>
      </c>
      <c r="C184" t="s">
        <v>584</v>
      </c>
      <c r="D184" t="s">
        <v>585</v>
      </c>
      <c r="E184" t="s">
        <v>20</v>
      </c>
      <c r="F184" t="s">
        <v>14</v>
      </c>
      <c r="G184" t="s">
        <v>15</v>
      </c>
      <c r="H184">
        <v>2</v>
      </c>
      <c r="I184">
        <v>96545</v>
      </c>
      <c r="J184" t="s">
        <v>33</v>
      </c>
    </row>
    <row r="185" spans="1:10">
      <c r="A185" t="s">
        <v>586</v>
      </c>
      <c r="B185" s="3">
        <v>45722</v>
      </c>
      <c r="C185" t="s">
        <v>587</v>
      </c>
      <c r="D185" t="s">
        <v>588</v>
      </c>
      <c r="E185" t="s">
        <v>13</v>
      </c>
      <c r="F185" t="s">
        <v>14</v>
      </c>
      <c r="G185" t="s">
        <v>108</v>
      </c>
      <c r="H185">
        <v>4</v>
      </c>
      <c r="I185">
        <v>36845</v>
      </c>
      <c r="J185" t="s">
        <v>16</v>
      </c>
    </row>
    <row r="186" spans="1:10">
      <c r="A186" t="s">
        <v>589</v>
      </c>
      <c r="B186" s="3">
        <v>45685</v>
      </c>
      <c r="C186" t="s">
        <v>590</v>
      </c>
      <c r="D186" t="s">
        <v>591</v>
      </c>
      <c r="E186" t="s">
        <v>31</v>
      </c>
      <c r="F186" t="s">
        <v>45</v>
      </c>
      <c r="G186" t="s">
        <v>46</v>
      </c>
      <c r="H186">
        <v>2</v>
      </c>
      <c r="I186">
        <v>2533</v>
      </c>
      <c r="J186" t="s">
        <v>33</v>
      </c>
    </row>
    <row r="187" spans="1:10">
      <c r="A187" t="s">
        <v>592</v>
      </c>
      <c r="B187" s="3">
        <v>45653</v>
      </c>
      <c r="C187" t="s">
        <v>593</v>
      </c>
      <c r="D187" t="s">
        <v>594</v>
      </c>
      <c r="E187" t="s">
        <v>20</v>
      </c>
      <c r="F187" t="s">
        <v>26</v>
      </c>
      <c r="G187" t="s">
        <v>27</v>
      </c>
      <c r="H187">
        <v>5</v>
      </c>
      <c r="I187">
        <v>18779</v>
      </c>
      <c r="J187" t="s">
        <v>33</v>
      </c>
    </row>
    <row r="188" spans="1:10">
      <c r="A188" t="s">
        <v>595</v>
      </c>
      <c r="B188" s="3">
        <v>45777</v>
      </c>
      <c r="C188" t="s">
        <v>596</v>
      </c>
      <c r="D188" t="s">
        <v>597</v>
      </c>
      <c r="E188" t="s">
        <v>13</v>
      </c>
      <c r="F188" t="s">
        <v>14</v>
      </c>
      <c r="G188" t="s">
        <v>108</v>
      </c>
      <c r="H188">
        <v>4</v>
      </c>
      <c r="I188">
        <v>19790</v>
      </c>
      <c r="J188" t="s">
        <v>22</v>
      </c>
    </row>
    <row r="189" spans="1:10">
      <c r="A189" t="s">
        <v>598</v>
      </c>
      <c r="B189" s="3">
        <v>45908</v>
      </c>
      <c r="C189" t="s">
        <v>599</v>
      </c>
      <c r="D189" t="s">
        <v>600</v>
      </c>
      <c r="E189" t="s">
        <v>13</v>
      </c>
      <c r="F189" t="s">
        <v>14</v>
      </c>
      <c r="G189" t="s">
        <v>15</v>
      </c>
      <c r="H189">
        <v>3</v>
      </c>
      <c r="I189">
        <v>113620</v>
      </c>
      <c r="J189" t="s">
        <v>33</v>
      </c>
    </row>
    <row r="190" spans="1:10">
      <c r="A190" t="s">
        <v>601</v>
      </c>
      <c r="B190" s="3">
        <v>45623</v>
      </c>
      <c r="C190" t="s">
        <v>602</v>
      </c>
      <c r="D190" t="s">
        <v>603</v>
      </c>
      <c r="E190" t="s">
        <v>61</v>
      </c>
      <c r="F190" t="s">
        <v>26</v>
      </c>
      <c r="G190" t="s">
        <v>124</v>
      </c>
      <c r="H190">
        <v>5</v>
      </c>
      <c r="I190">
        <v>68082</v>
      </c>
      <c r="J190" t="s">
        <v>16</v>
      </c>
    </row>
    <row r="191" spans="1:10">
      <c r="A191" t="s">
        <v>604</v>
      </c>
      <c r="B191" s="3">
        <v>45821</v>
      </c>
      <c r="C191" t="s">
        <v>605</v>
      </c>
      <c r="D191" t="s">
        <v>606</v>
      </c>
      <c r="E191" t="s">
        <v>20</v>
      </c>
      <c r="F191" t="s">
        <v>26</v>
      </c>
      <c r="G191" t="s">
        <v>85</v>
      </c>
      <c r="H191">
        <v>4</v>
      </c>
      <c r="I191">
        <v>29059</v>
      </c>
      <c r="J191" t="s">
        <v>16</v>
      </c>
    </row>
    <row r="192" spans="1:10">
      <c r="A192" t="s">
        <v>607</v>
      </c>
      <c r="B192" s="3">
        <v>45814</v>
      </c>
      <c r="C192" t="s">
        <v>608</v>
      </c>
      <c r="D192" t="s">
        <v>609</v>
      </c>
      <c r="E192" t="s">
        <v>61</v>
      </c>
      <c r="F192" t="s">
        <v>26</v>
      </c>
      <c r="G192" t="s">
        <v>85</v>
      </c>
      <c r="H192">
        <v>5</v>
      </c>
      <c r="I192">
        <v>23897</v>
      </c>
      <c r="J192" t="s">
        <v>22</v>
      </c>
    </row>
    <row r="193" spans="1:10">
      <c r="A193" t="s">
        <v>610</v>
      </c>
      <c r="B193" s="3">
        <v>45870</v>
      </c>
      <c r="C193" t="s">
        <v>611</v>
      </c>
      <c r="D193" t="s">
        <v>612</v>
      </c>
      <c r="E193" t="s">
        <v>61</v>
      </c>
      <c r="F193" t="s">
        <v>26</v>
      </c>
      <c r="G193" t="s">
        <v>294</v>
      </c>
      <c r="H193">
        <v>2</v>
      </c>
      <c r="I193">
        <v>28906</v>
      </c>
      <c r="J193" t="s">
        <v>47</v>
      </c>
    </row>
    <row r="194" spans="1:10">
      <c r="A194" t="s">
        <v>613</v>
      </c>
      <c r="B194" s="3">
        <v>45849</v>
      </c>
      <c r="C194" t="s">
        <v>614</v>
      </c>
      <c r="D194" t="s">
        <v>615</v>
      </c>
      <c r="E194" t="s">
        <v>61</v>
      </c>
      <c r="F194" t="s">
        <v>37</v>
      </c>
      <c r="G194" t="s">
        <v>38</v>
      </c>
      <c r="H194">
        <v>4</v>
      </c>
      <c r="I194">
        <v>89057</v>
      </c>
      <c r="J194" t="s">
        <v>33</v>
      </c>
    </row>
    <row r="195" spans="1:10">
      <c r="A195" t="s">
        <v>616</v>
      </c>
      <c r="B195" s="3">
        <v>45788</v>
      </c>
      <c r="C195" t="s">
        <v>617</v>
      </c>
      <c r="D195" t="s">
        <v>618</v>
      </c>
      <c r="E195" t="s">
        <v>31</v>
      </c>
      <c r="F195" t="s">
        <v>26</v>
      </c>
      <c r="G195" t="s">
        <v>124</v>
      </c>
      <c r="H195">
        <v>5</v>
      </c>
      <c r="I195">
        <v>52872</v>
      </c>
      <c r="J195" t="s">
        <v>22</v>
      </c>
    </row>
    <row r="196" spans="1:10">
      <c r="A196" t="s">
        <v>619</v>
      </c>
      <c r="B196" s="3">
        <v>45737</v>
      </c>
      <c r="C196" t="s">
        <v>620</v>
      </c>
      <c r="D196" t="s">
        <v>621</v>
      </c>
      <c r="E196" t="s">
        <v>13</v>
      </c>
      <c r="F196" t="s">
        <v>26</v>
      </c>
      <c r="G196" t="s">
        <v>27</v>
      </c>
      <c r="H196">
        <v>3</v>
      </c>
      <c r="I196">
        <v>73270</v>
      </c>
      <c r="J196" t="s">
        <v>16</v>
      </c>
    </row>
    <row r="197" spans="1:10">
      <c r="A197" t="s">
        <v>622</v>
      </c>
      <c r="B197" s="3">
        <v>45852</v>
      </c>
      <c r="C197" t="s">
        <v>623</v>
      </c>
      <c r="D197" t="s">
        <v>624</v>
      </c>
      <c r="E197" t="s">
        <v>20</v>
      </c>
      <c r="F197" t="s">
        <v>37</v>
      </c>
      <c r="G197" t="s">
        <v>95</v>
      </c>
      <c r="H197">
        <v>5</v>
      </c>
      <c r="I197">
        <v>47701</v>
      </c>
      <c r="J197" t="s">
        <v>16</v>
      </c>
    </row>
    <row r="198" spans="1:10">
      <c r="A198" t="s">
        <v>625</v>
      </c>
      <c r="B198" s="3">
        <v>45823</v>
      </c>
      <c r="C198" t="s">
        <v>626</v>
      </c>
      <c r="D198" t="s">
        <v>627</v>
      </c>
      <c r="E198" t="s">
        <v>20</v>
      </c>
      <c r="F198" t="s">
        <v>37</v>
      </c>
      <c r="G198" t="s">
        <v>95</v>
      </c>
      <c r="H198">
        <v>5</v>
      </c>
      <c r="I198">
        <v>38264</v>
      </c>
      <c r="J198" t="s">
        <v>22</v>
      </c>
    </row>
    <row r="199" spans="1:10">
      <c r="A199" t="s">
        <v>628</v>
      </c>
      <c r="B199" s="3">
        <v>45803</v>
      </c>
      <c r="C199" t="s">
        <v>629</v>
      </c>
      <c r="D199" t="s">
        <v>630</v>
      </c>
      <c r="E199" t="s">
        <v>13</v>
      </c>
      <c r="F199" t="s">
        <v>14</v>
      </c>
      <c r="G199" t="s">
        <v>32</v>
      </c>
      <c r="H199">
        <v>5</v>
      </c>
      <c r="I199">
        <v>84828</v>
      </c>
      <c r="J199" t="s">
        <v>16</v>
      </c>
    </row>
    <row r="200" spans="1:10">
      <c r="A200" t="s">
        <v>631</v>
      </c>
      <c r="B200" s="3">
        <v>45615</v>
      </c>
      <c r="C200" t="s">
        <v>632</v>
      </c>
      <c r="D200" t="s">
        <v>633</v>
      </c>
      <c r="E200" t="s">
        <v>20</v>
      </c>
      <c r="F200" t="s">
        <v>45</v>
      </c>
      <c r="G200" t="s">
        <v>51</v>
      </c>
      <c r="H200">
        <v>2</v>
      </c>
      <c r="I200">
        <v>1635</v>
      </c>
      <c r="J200" t="s">
        <v>33</v>
      </c>
    </row>
    <row r="201" spans="1:10">
      <c r="A201" t="s">
        <v>634</v>
      </c>
      <c r="B201" s="3">
        <v>45778</v>
      </c>
      <c r="C201" t="s">
        <v>635</v>
      </c>
      <c r="D201" t="s">
        <v>636</v>
      </c>
      <c r="E201" t="s">
        <v>20</v>
      </c>
      <c r="F201" t="s">
        <v>26</v>
      </c>
      <c r="G201" t="s">
        <v>27</v>
      </c>
      <c r="H201">
        <v>4</v>
      </c>
      <c r="I201">
        <v>72467</v>
      </c>
      <c r="J20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8"/>
  <sheetViews>
    <sheetView tabSelected="1" workbookViewId="0">
      <selection activeCell="H32" sqref="H32"/>
    </sheetView>
  </sheetViews>
  <sheetFormatPr defaultColWidth="9" defaultRowHeight="15"/>
  <cols>
    <col min="1" max="1" width="13.140625" customWidth="1"/>
    <col min="2" max="2" width="19.5703125" bestFit="1" customWidth="1"/>
    <col min="3" max="3" width="16.140625" customWidth="1"/>
    <col min="4" max="4" width="15.42578125" customWidth="1"/>
    <col min="5" max="201" width="8.85546875" customWidth="1"/>
    <col min="202" max="202" width="7.28515625" customWidth="1"/>
    <col min="203" max="203" width="11.28515625" customWidth="1"/>
  </cols>
  <sheetData>
    <row r="3" spans="1:2">
      <c r="A3" s="5" t="s">
        <v>637</v>
      </c>
      <c r="B3" t="s">
        <v>640</v>
      </c>
    </row>
    <row r="4" spans="1:2">
      <c r="A4" s="2" t="s">
        <v>31</v>
      </c>
      <c r="B4">
        <v>7154073</v>
      </c>
    </row>
    <row r="5" spans="1:2">
      <c r="A5" s="2" t="s">
        <v>13</v>
      </c>
      <c r="B5">
        <v>6003235</v>
      </c>
    </row>
    <row r="6" spans="1:2">
      <c r="A6" s="2" t="s">
        <v>61</v>
      </c>
      <c r="B6">
        <v>9180123</v>
      </c>
    </row>
    <row r="7" spans="1:2">
      <c r="A7" s="2" t="s">
        <v>20</v>
      </c>
      <c r="B7">
        <v>6132607</v>
      </c>
    </row>
    <row r="8" spans="1:2">
      <c r="A8" s="2" t="s">
        <v>638</v>
      </c>
      <c r="B8">
        <v>28470038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40792-5B9B-4EFA-A467-CA14B6826DDF}">
  <dimension ref="A3:B8"/>
  <sheetViews>
    <sheetView workbookViewId="0">
      <selection activeCell="E16" sqref="E16"/>
    </sheetView>
  </sheetViews>
  <sheetFormatPr defaultRowHeight="15"/>
  <cols>
    <col min="1" max="1" width="13.140625" bestFit="1" customWidth="1"/>
    <col min="2" max="2" width="19.5703125" bestFit="1" customWidth="1"/>
  </cols>
  <sheetData>
    <row r="3" spans="1:2">
      <c r="A3" s="5" t="s">
        <v>637</v>
      </c>
      <c r="B3" t="s">
        <v>640</v>
      </c>
    </row>
    <row r="4" spans="1:2">
      <c r="A4" s="2" t="s">
        <v>45</v>
      </c>
      <c r="B4">
        <v>365234</v>
      </c>
    </row>
    <row r="5" spans="1:2">
      <c r="A5" s="2" t="s">
        <v>14</v>
      </c>
      <c r="B5">
        <v>13823127</v>
      </c>
    </row>
    <row r="6" spans="1:2">
      <c r="A6" s="2" t="s">
        <v>37</v>
      </c>
      <c r="B6">
        <v>8341222</v>
      </c>
    </row>
    <row r="7" spans="1:2">
      <c r="A7" s="2" t="s">
        <v>26</v>
      </c>
      <c r="B7">
        <v>5940455</v>
      </c>
    </row>
    <row r="8" spans="1:2">
      <c r="A8" s="2" t="s">
        <v>638</v>
      </c>
      <c r="B8">
        <v>28470038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612F-18AA-4BF3-A755-89211B84A65D}">
  <dimension ref="A3:B9"/>
  <sheetViews>
    <sheetView workbookViewId="0">
      <selection activeCell="E20" sqref="E20"/>
    </sheetView>
  </sheetViews>
  <sheetFormatPr defaultRowHeight="15"/>
  <cols>
    <col min="1" max="1" width="16.140625" bestFit="1" customWidth="1"/>
    <col min="2" max="2" width="19.5703125" bestFit="1" customWidth="1"/>
  </cols>
  <sheetData>
    <row r="3" spans="1:2">
      <c r="A3" s="5" t="s">
        <v>637</v>
      </c>
      <c r="B3" t="s">
        <v>640</v>
      </c>
    </row>
    <row r="4" spans="1:2">
      <c r="A4" s="2" t="s">
        <v>150</v>
      </c>
      <c r="B4">
        <v>588344</v>
      </c>
    </row>
    <row r="5" spans="1:2">
      <c r="A5" s="2" t="s">
        <v>174</v>
      </c>
      <c r="B5">
        <v>611300</v>
      </c>
    </row>
    <row r="6" spans="1:2">
      <c r="A6" s="2" t="s">
        <v>327</v>
      </c>
      <c r="B6">
        <v>590310</v>
      </c>
    </row>
    <row r="7" spans="1:2">
      <c r="A7" s="2" t="s">
        <v>278</v>
      </c>
      <c r="B7">
        <v>636005</v>
      </c>
    </row>
    <row r="8" spans="1:2">
      <c r="A8" s="2" t="s">
        <v>492</v>
      </c>
      <c r="B8">
        <v>574692</v>
      </c>
    </row>
    <row r="9" spans="1:2">
      <c r="A9" s="2" t="s">
        <v>638</v>
      </c>
      <c r="B9">
        <v>3000651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workbookViewId="0">
      <selection activeCell="C27" sqref="C27"/>
    </sheetView>
  </sheetViews>
  <sheetFormatPr defaultColWidth="15.5703125"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639</v>
      </c>
      <c r="K1" s="1" t="s">
        <v>9</v>
      </c>
    </row>
    <row r="2" spans="1:11">
      <c r="A2" t="s">
        <v>10</v>
      </c>
      <c r="B2">
        <v>45683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>
        <v>135097</v>
      </c>
      <c r="J2">
        <f t="shared" ref="J2:J65" si="0">(H2*I2)</f>
        <v>135097</v>
      </c>
      <c r="K2" t="s">
        <v>16</v>
      </c>
    </row>
    <row r="3" spans="1:11">
      <c r="A3" t="s">
        <v>17</v>
      </c>
      <c r="B3">
        <v>45681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>
        <v>4</v>
      </c>
      <c r="I3">
        <v>62800</v>
      </c>
      <c r="J3">
        <f t="shared" si="0"/>
        <v>251200</v>
      </c>
      <c r="K3" t="s">
        <v>22</v>
      </c>
    </row>
    <row r="4" spans="1:11">
      <c r="A4" t="s">
        <v>23</v>
      </c>
      <c r="B4">
        <v>45684</v>
      </c>
      <c r="C4" t="s">
        <v>24</v>
      </c>
      <c r="D4" t="s">
        <v>25</v>
      </c>
      <c r="E4" t="s">
        <v>20</v>
      </c>
      <c r="F4" t="s">
        <v>26</v>
      </c>
      <c r="G4" t="s">
        <v>27</v>
      </c>
      <c r="H4">
        <v>3</v>
      </c>
      <c r="I4">
        <v>64876</v>
      </c>
      <c r="J4">
        <f t="shared" si="0"/>
        <v>194628</v>
      </c>
      <c r="K4" t="s">
        <v>22</v>
      </c>
    </row>
    <row r="5" spans="1:11">
      <c r="A5" t="s">
        <v>28</v>
      </c>
      <c r="B5">
        <v>45711</v>
      </c>
      <c r="C5" t="s">
        <v>29</v>
      </c>
      <c r="D5" t="s">
        <v>30</v>
      </c>
      <c r="E5" t="s">
        <v>31</v>
      </c>
      <c r="F5" t="s">
        <v>14</v>
      </c>
      <c r="G5" t="s">
        <v>32</v>
      </c>
      <c r="H5">
        <v>4</v>
      </c>
      <c r="I5">
        <v>60027</v>
      </c>
      <c r="J5">
        <f t="shared" si="0"/>
        <v>240108</v>
      </c>
      <c r="K5" t="s">
        <v>33</v>
      </c>
    </row>
    <row r="6" spans="1:11">
      <c r="A6" t="s">
        <v>34</v>
      </c>
      <c r="B6">
        <v>45604</v>
      </c>
      <c r="C6" t="s">
        <v>35</v>
      </c>
      <c r="D6" t="s">
        <v>36</v>
      </c>
      <c r="E6" t="s">
        <v>13</v>
      </c>
      <c r="F6" t="s">
        <v>37</v>
      </c>
      <c r="G6" t="s">
        <v>38</v>
      </c>
      <c r="H6">
        <v>1</v>
      </c>
      <c r="I6">
        <v>95282</v>
      </c>
      <c r="J6">
        <f t="shared" si="0"/>
        <v>95282</v>
      </c>
      <c r="K6" t="s">
        <v>22</v>
      </c>
    </row>
    <row r="7" spans="1:11">
      <c r="A7" t="s">
        <v>39</v>
      </c>
      <c r="B7">
        <v>45639</v>
      </c>
      <c r="C7" t="s">
        <v>40</v>
      </c>
      <c r="D7" t="s">
        <v>41</v>
      </c>
      <c r="E7" t="s">
        <v>31</v>
      </c>
      <c r="F7" t="s">
        <v>37</v>
      </c>
      <c r="G7" t="s">
        <v>38</v>
      </c>
      <c r="H7">
        <v>4</v>
      </c>
      <c r="I7">
        <v>75605</v>
      </c>
      <c r="J7">
        <f t="shared" si="0"/>
        <v>302420</v>
      </c>
      <c r="K7" t="s">
        <v>22</v>
      </c>
    </row>
    <row r="8" spans="1:11">
      <c r="A8" t="s">
        <v>42</v>
      </c>
      <c r="B8">
        <v>45707</v>
      </c>
      <c r="C8" t="s">
        <v>43</v>
      </c>
      <c r="D8" t="s">
        <v>44</v>
      </c>
      <c r="E8" t="s">
        <v>13</v>
      </c>
      <c r="F8" t="s">
        <v>45</v>
      </c>
      <c r="G8" t="s">
        <v>46</v>
      </c>
      <c r="H8">
        <v>2</v>
      </c>
      <c r="I8">
        <v>3954</v>
      </c>
      <c r="J8">
        <f t="shared" si="0"/>
        <v>7908</v>
      </c>
      <c r="K8" t="s">
        <v>47</v>
      </c>
    </row>
    <row r="9" spans="1:11">
      <c r="A9" t="s">
        <v>48</v>
      </c>
      <c r="B9">
        <v>45717</v>
      </c>
      <c r="C9" t="s">
        <v>49</v>
      </c>
      <c r="D9" t="s">
        <v>50</v>
      </c>
      <c r="E9" t="s">
        <v>20</v>
      </c>
      <c r="F9" t="s">
        <v>45</v>
      </c>
      <c r="G9" t="s">
        <v>51</v>
      </c>
      <c r="H9">
        <v>1</v>
      </c>
      <c r="I9">
        <v>3246</v>
      </c>
      <c r="J9">
        <f t="shared" si="0"/>
        <v>3246</v>
      </c>
      <c r="K9" t="s">
        <v>47</v>
      </c>
    </row>
    <row r="10" spans="1:11">
      <c r="A10" t="s">
        <v>52</v>
      </c>
      <c r="B10">
        <v>45756</v>
      </c>
      <c r="C10" t="s">
        <v>53</v>
      </c>
      <c r="D10" t="s">
        <v>54</v>
      </c>
      <c r="E10" t="s">
        <v>13</v>
      </c>
      <c r="F10" t="s">
        <v>14</v>
      </c>
      <c r="G10" t="s">
        <v>21</v>
      </c>
      <c r="H10">
        <v>1</v>
      </c>
      <c r="I10">
        <v>42616</v>
      </c>
      <c r="J10">
        <f t="shared" si="0"/>
        <v>42616</v>
      </c>
      <c r="K10" t="s">
        <v>47</v>
      </c>
    </row>
    <row r="11" spans="1:11">
      <c r="A11" t="s">
        <v>55</v>
      </c>
      <c r="B11">
        <v>45645</v>
      </c>
      <c r="C11" t="s">
        <v>56</v>
      </c>
      <c r="D11" t="s">
        <v>57</v>
      </c>
      <c r="E11" t="s">
        <v>13</v>
      </c>
      <c r="F11" t="s">
        <v>14</v>
      </c>
      <c r="G11" t="s">
        <v>21</v>
      </c>
      <c r="H11">
        <v>5</v>
      </c>
      <c r="I11">
        <v>33551</v>
      </c>
      <c r="J11">
        <f t="shared" si="0"/>
        <v>167755</v>
      </c>
      <c r="K11" t="s">
        <v>22</v>
      </c>
    </row>
    <row r="12" spans="1:11">
      <c r="A12" t="s">
        <v>58</v>
      </c>
      <c r="B12">
        <v>45582</v>
      </c>
      <c r="C12" t="s">
        <v>59</v>
      </c>
      <c r="D12" t="s">
        <v>60</v>
      </c>
      <c r="E12" t="s">
        <v>61</v>
      </c>
      <c r="F12" t="s">
        <v>37</v>
      </c>
      <c r="G12" t="s">
        <v>62</v>
      </c>
      <c r="H12">
        <v>3</v>
      </c>
      <c r="I12">
        <v>53827</v>
      </c>
      <c r="J12">
        <f t="shared" si="0"/>
        <v>161481</v>
      </c>
      <c r="K12" t="s">
        <v>33</v>
      </c>
    </row>
    <row r="13" spans="1:11">
      <c r="A13" t="s">
        <v>63</v>
      </c>
      <c r="B13">
        <v>45824</v>
      </c>
      <c r="C13" t="s">
        <v>64</v>
      </c>
      <c r="D13" t="s">
        <v>65</v>
      </c>
      <c r="E13" t="s">
        <v>61</v>
      </c>
      <c r="F13" t="s">
        <v>45</v>
      </c>
      <c r="G13" t="s">
        <v>51</v>
      </c>
      <c r="H13">
        <v>2</v>
      </c>
      <c r="I13">
        <v>2513</v>
      </c>
      <c r="J13">
        <f t="shared" si="0"/>
        <v>5026</v>
      </c>
      <c r="K13" t="s">
        <v>16</v>
      </c>
    </row>
    <row r="14" spans="1:11">
      <c r="A14" t="s">
        <v>66</v>
      </c>
      <c r="B14">
        <v>45743</v>
      </c>
      <c r="C14" t="s">
        <v>67</v>
      </c>
      <c r="D14" t="s">
        <v>68</v>
      </c>
      <c r="E14" t="s">
        <v>61</v>
      </c>
      <c r="F14" t="s">
        <v>14</v>
      </c>
      <c r="G14" t="s">
        <v>21</v>
      </c>
      <c r="H14">
        <v>4</v>
      </c>
      <c r="I14">
        <v>83026</v>
      </c>
      <c r="J14">
        <f t="shared" si="0"/>
        <v>332104</v>
      </c>
      <c r="K14" t="s">
        <v>33</v>
      </c>
    </row>
    <row r="15" spans="1:11">
      <c r="A15" t="s">
        <v>69</v>
      </c>
      <c r="B15">
        <v>45588</v>
      </c>
      <c r="C15" t="s">
        <v>70</v>
      </c>
      <c r="D15" t="s">
        <v>71</v>
      </c>
      <c r="E15" t="s">
        <v>31</v>
      </c>
      <c r="F15" t="s">
        <v>26</v>
      </c>
      <c r="G15" t="s">
        <v>27</v>
      </c>
      <c r="H15">
        <v>3</v>
      </c>
      <c r="I15">
        <v>17287</v>
      </c>
      <c r="J15">
        <f t="shared" si="0"/>
        <v>51861</v>
      </c>
      <c r="K15" t="s">
        <v>33</v>
      </c>
    </row>
    <row r="16" spans="1:11">
      <c r="A16" t="s">
        <v>72</v>
      </c>
      <c r="B16">
        <v>45898</v>
      </c>
      <c r="C16" t="s">
        <v>73</v>
      </c>
      <c r="D16" t="s">
        <v>74</v>
      </c>
      <c r="E16" t="s">
        <v>20</v>
      </c>
      <c r="F16" t="s">
        <v>14</v>
      </c>
      <c r="G16" t="s">
        <v>32</v>
      </c>
      <c r="H16">
        <v>5</v>
      </c>
      <c r="I16">
        <v>63155</v>
      </c>
      <c r="J16">
        <f t="shared" si="0"/>
        <v>315775</v>
      </c>
      <c r="K16" t="s">
        <v>33</v>
      </c>
    </row>
    <row r="17" spans="1:11">
      <c r="A17" t="s">
        <v>75</v>
      </c>
      <c r="B17">
        <v>45750</v>
      </c>
      <c r="C17" t="s">
        <v>76</v>
      </c>
      <c r="D17" t="s">
        <v>77</v>
      </c>
      <c r="E17" t="s">
        <v>31</v>
      </c>
      <c r="F17" t="s">
        <v>37</v>
      </c>
      <c r="G17" t="s">
        <v>78</v>
      </c>
      <c r="H17">
        <v>3</v>
      </c>
      <c r="I17">
        <v>71024</v>
      </c>
      <c r="J17">
        <f t="shared" si="0"/>
        <v>213072</v>
      </c>
      <c r="K17" t="s">
        <v>16</v>
      </c>
    </row>
    <row r="18" spans="1:11">
      <c r="A18" t="s">
        <v>79</v>
      </c>
      <c r="B18">
        <v>45904</v>
      </c>
      <c r="C18" t="s">
        <v>80</v>
      </c>
      <c r="D18" t="s">
        <v>81</v>
      </c>
      <c r="E18" t="s">
        <v>13</v>
      </c>
      <c r="F18" t="s">
        <v>45</v>
      </c>
      <c r="G18" t="s">
        <v>51</v>
      </c>
      <c r="H18">
        <v>3</v>
      </c>
      <c r="I18">
        <v>1464</v>
      </c>
      <c r="J18">
        <f t="shared" si="0"/>
        <v>4392</v>
      </c>
      <c r="K18" t="s">
        <v>47</v>
      </c>
    </row>
    <row r="19" spans="1:11">
      <c r="A19" t="s">
        <v>82</v>
      </c>
      <c r="B19">
        <v>45813</v>
      </c>
      <c r="C19" t="s">
        <v>83</v>
      </c>
      <c r="D19" t="s">
        <v>84</v>
      </c>
      <c r="E19" t="s">
        <v>61</v>
      </c>
      <c r="F19" t="s">
        <v>26</v>
      </c>
      <c r="G19" t="s">
        <v>85</v>
      </c>
      <c r="H19">
        <v>4</v>
      </c>
      <c r="I19">
        <v>6265</v>
      </c>
      <c r="J19">
        <f t="shared" si="0"/>
        <v>25060</v>
      </c>
      <c r="K19" t="s">
        <v>47</v>
      </c>
    </row>
    <row r="20" spans="1:11">
      <c r="A20" t="s">
        <v>86</v>
      </c>
      <c r="B20">
        <v>45670</v>
      </c>
      <c r="C20" t="s">
        <v>87</v>
      </c>
      <c r="D20" t="s">
        <v>88</v>
      </c>
      <c r="E20" t="s">
        <v>31</v>
      </c>
      <c r="F20" t="s">
        <v>14</v>
      </c>
      <c r="G20" t="s">
        <v>15</v>
      </c>
      <c r="H20">
        <v>3</v>
      </c>
      <c r="I20">
        <v>132686</v>
      </c>
      <c r="J20">
        <f t="shared" si="0"/>
        <v>398058</v>
      </c>
      <c r="K20" t="s">
        <v>16</v>
      </c>
    </row>
    <row r="21" spans="1:11">
      <c r="A21" t="s">
        <v>89</v>
      </c>
      <c r="B21">
        <v>45826</v>
      </c>
      <c r="C21" t="s">
        <v>90</v>
      </c>
      <c r="D21" t="s">
        <v>91</v>
      </c>
      <c r="E21" t="s">
        <v>13</v>
      </c>
      <c r="F21" t="s">
        <v>26</v>
      </c>
      <c r="G21" t="s">
        <v>27</v>
      </c>
      <c r="H21">
        <v>2</v>
      </c>
      <c r="I21">
        <v>25639</v>
      </c>
      <c r="J21">
        <f t="shared" si="0"/>
        <v>51278</v>
      </c>
      <c r="K21" t="s">
        <v>47</v>
      </c>
    </row>
    <row r="22" spans="1:11">
      <c r="A22" t="s">
        <v>92</v>
      </c>
      <c r="B22">
        <v>45584</v>
      </c>
      <c r="C22" t="s">
        <v>93</v>
      </c>
      <c r="D22" t="s">
        <v>94</v>
      </c>
      <c r="E22" t="s">
        <v>20</v>
      </c>
      <c r="F22" t="s">
        <v>37</v>
      </c>
      <c r="G22" t="s">
        <v>95</v>
      </c>
      <c r="H22">
        <v>2</v>
      </c>
      <c r="I22">
        <v>79779</v>
      </c>
      <c r="J22">
        <f t="shared" si="0"/>
        <v>159558</v>
      </c>
      <c r="K22" t="s">
        <v>16</v>
      </c>
    </row>
    <row r="23" spans="1:11">
      <c r="A23" t="s">
        <v>96</v>
      </c>
      <c r="B23">
        <v>45639</v>
      </c>
      <c r="C23" t="s">
        <v>97</v>
      </c>
      <c r="D23" t="s">
        <v>98</v>
      </c>
      <c r="E23" t="s">
        <v>31</v>
      </c>
      <c r="F23" t="s">
        <v>45</v>
      </c>
      <c r="G23" t="s">
        <v>51</v>
      </c>
      <c r="H23">
        <v>2</v>
      </c>
      <c r="I23">
        <v>3958</v>
      </c>
      <c r="J23">
        <f t="shared" si="0"/>
        <v>7916</v>
      </c>
      <c r="K23" t="s">
        <v>22</v>
      </c>
    </row>
    <row r="24" spans="1:11">
      <c r="A24" t="s">
        <v>99</v>
      </c>
      <c r="B24">
        <v>45857</v>
      </c>
      <c r="C24" t="s">
        <v>100</v>
      </c>
      <c r="D24" t="s">
        <v>101</v>
      </c>
      <c r="E24" t="s">
        <v>31</v>
      </c>
      <c r="F24" t="s">
        <v>14</v>
      </c>
      <c r="G24" t="s">
        <v>21</v>
      </c>
      <c r="H24">
        <v>4</v>
      </c>
      <c r="I24">
        <v>23197</v>
      </c>
      <c r="J24">
        <f t="shared" si="0"/>
        <v>92788</v>
      </c>
      <c r="K24" t="s">
        <v>22</v>
      </c>
    </row>
    <row r="25" spans="1:11">
      <c r="A25" t="s">
        <v>102</v>
      </c>
      <c r="B25">
        <v>45797</v>
      </c>
      <c r="C25" t="s">
        <v>103</v>
      </c>
      <c r="D25" t="s">
        <v>104</v>
      </c>
      <c r="E25" t="s">
        <v>31</v>
      </c>
      <c r="F25" t="s">
        <v>14</v>
      </c>
      <c r="G25" t="s">
        <v>21</v>
      </c>
      <c r="H25">
        <v>5</v>
      </c>
      <c r="I25">
        <v>58602</v>
      </c>
      <c r="J25">
        <f t="shared" si="0"/>
        <v>293010</v>
      </c>
      <c r="K25" t="s">
        <v>33</v>
      </c>
    </row>
    <row r="26" spans="1:11">
      <c r="A26" t="s">
        <v>105</v>
      </c>
      <c r="B26">
        <v>45704</v>
      </c>
      <c r="C26" t="s">
        <v>106</v>
      </c>
      <c r="D26" t="s">
        <v>107</v>
      </c>
      <c r="E26" t="s">
        <v>31</v>
      </c>
      <c r="F26" t="s">
        <v>14</v>
      </c>
      <c r="G26" t="s">
        <v>108</v>
      </c>
      <c r="H26">
        <v>3</v>
      </c>
      <c r="I26">
        <v>85922</v>
      </c>
      <c r="J26">
        <f t="shared" si="0"/>
        <v>257766</v>
      </c>
      <c r="K26" t="s">
        <v>22</v>
      </c>
    </row>
    <row r="27" spans="1:11">
      <c r="A27" t="s">
        <v>109</v>
      </c>
      <c r="B27">
        <v>45720</v>
      </c>
      <c r="C27" t="s">
        <v>110</v>
      </c>
      <c r="D27" t="s">
        <v>111</v>
      </c>
      <c r="E27" t="s">
        <v>61</v>
      </c>
      <c r="F27" t="s">
        <v>14</v>
      </c>
      <c r="G27" t="s">
        <v>15</v>
      </c>
      <c r="H27">
        <v>3</v>
      </c>
      <c r="I27">
        <v>23582</v>
      </c>
      <c r="J27">
        <f t="shared" si="0"/>
        <v>70746</v>
      </c>
      <c r="K27" t="s">
        <v>33</v>
      </c>
    </row>
    <row r="28" spans="1:11">
      <c r="A28" t="s">
        <v>112</v>
      </c>
      <c r="B28">
        <v>45556</v>
      </c>
      <c r="C28" t="s">
        <v>113</v>
      </c>
      <c r="D28" t="s">
        <v>114</v>
      </c>
      <c r="E28" t="s">
        <v>31</v>
      </c>
      <c r="F28" t="s">
        <v>37</v>
      </c>
      <c r="G28" t="s">
        <v>78</v>
      </c>
      <c r="H28">
        <v>4</v>
      </c>
      <c r="I28">
        <v>37423</v>
      </c>
      <c r="J28">
        <f t="shared" si="0"/>
        <v>149692</v>
      </c>
      <c r="K28" t="s">
        <v>33</v>
      </c>
    </row>
    <row r="29" spans="1:11">
      <c r="A29" t="s">
        <v>115</v>
      </c>
      <c r="B29">
        <v>45607</v>
      </c>
      <c r="C29" t="s">
        <v>116</v>
      </c>
      <c r="D29" t="s">
        <v>117</v>
      </c>
      <c r="E29" t="s">
        <v>13</v>
      </c>
      <c r="F29" t="s">
        <v>45</v>
      </c>
      <c r="G29" t="s">
        <v>46</v>
      </c>
      <c r="H29">
        <v>5</v>
      </c>
      <c r="I29">
        <v>4645</v>
      </c>
      <c r="J29">
        <f t="shared" si="0"/>
        <v>23225</v>
      </c>
      <c r="K29" t="s">
        <v>47</v>
      </c>
    </row>
    <row r="30" spans="1:11">
      <c r="A30" t="s">
        <v>118</v>
      </c>
      <c r="B30">
        <v>45883</v>
      </c>
      <c r="C30" t="s">
        <v>119</v>
      </c>
      <c r="D30" t="s">
        <v>120</v>
      </c>
      <c r="E30" t="s">
        <v>13</v>
      </c>
      <c r="F30" t="s">
        <v>26</v>
      </c>
      <c r="G30" t="s">
        <v>85</v>
      </c>
      <c r="H30">
        <v>1</v>
      </c>
      <c r="I30">
        <v>26925</v>
      </c>
      <c r="J30">
        <f t="shared" si="0"/>
        <v>26925</v>
      </c>
      <c r="K30" t="s">
        <v>47</v>
      </c>
    </row>
    <row r="31" spans="1:11">
      <c r="A31" t="s">
        <v>121</v>
      </c>
      <c r="B31">
        <v>45884</v>
      </c>
      <c r="C31" t="s">
        <v>122</v>
      </c>
      <c r="D31" t="s">
        <v>123</v>
      </c>
      <c r="E31" t="s">
        <v>31</v>
      </c>
      <c r="F31" t="s">
        <v>26</v>
      </c>
      <c r="G31" t="s">
        <v>124</v>
      </c>
      <c r="H31">
        <v>3</v>
      </c>
      <c r="I31">
        <v>53983</v>
      </c>
      <c r="J31">
        <f t="shared" si="0"/>
        <v>161949</v>
      </c>
      <c r="K31" t="s">
        <v>16</v>
      </c>
    </row>
    <row r="32" spans="1:11">
      <c r="A32" t="s">
        <v>125</v>
      </c>
      <c r="B32">
        <v>45687</v>
      </c>
      <c r="C32" t="s">
        <v>126</v>
      </c>
      <c r="D32" t="s">
        <v>127</v>
      </c>
      <c r="E32" t="s">
        <v>61</v>
      </c>
      <c r="F32" t="s">
        <v>14</v>
      </c>
      <c r="G32" t="s">
        <v>32</v>
      </c>
      <c r="H32">
        <v>2</v>
      </c>
      <c r="I32">
        <v>36920</v>
      </c>
      <c r="J32">
        <f t="shared" si="0"/>
        <v>73840</v>
      </c>
      <c r="K32" t="s">
        <v>33</v>
      </c>
    </row>
    <row r="33" spans="1:11">
      <c r="A33" t="s">
        <v>128</v>
      </c>
      <c r="B33">
        <v>45729</v>
      </c>
      <c r="C33" t="s">
        <v>129</v>
      </c>
      <c r="D33" t="s">
        <v>130</v>
      </c>
      <c r="E33" t="s">
        <v>20</v>
      </c>
      <c r="F33" t="s">
        <v>45</v>
      </c>
      <c r="G33" t="s">
        <v>131</v>
      </c>
      <c r="H33">
        <v>3</v>
      </c>
      <c r="I33">
        <v>1509</v>
      </c>
      <c r="J33">
        <f t="shared" si="0"/>
        <v>4527</v>
      </c>
      <c r="K33" t="s">
        <v>16</v>
      </c>
    </row>
    <row r="34" spans="1:11">
      <c r="A34" t="s">
        <v>132</v>
      </c>
      <c r="B34">
        <v>45816</v>
      </c>
      <c r="C34" t="s">
        <v>133</v>
      </c>
      <c r="D34" t="s">
        <v>134</v>
      </c>
      <c r="E34" t="s">
        <v>13</v>
      </c>
      <c r="F34" t="s">
        <v>45</v>
      </c>
      <c r="G34" t="s">
        <v>46</v>
      </c>
      <c r="H34">
        <v>5</v>
      </c>
      <c r="I34">
        <v>2783</v>
      </c>
      <c r="J34">
        <f t="shared" si="0"/>
        <v>13915</v>
      </c>
      <c r="K34" t="s">
        <v>16</v>
      </c>
    </row>
    <row r="35" spans="1:11">
      <c r="A35" t="s">
        <v>135</v>
      </c>
      <c r="B35">
        <v>45735</v>
      </c>
      <c r="C35" t="s">
        <v>136</v>
      </c>
      <c r="D35" t="s">
        <v>137</v>
      </c>
      <c r="E35" t="s">
        <v>31</v>
      </c>
      <c r="F35" t="s">
        <v>26</v>
      </c>
      <c r="G35" t="s">
        <v>85</v>
      </c>
      <c r="H35">
        <v>4</v>
      </c>
      <c r="I35">
        <v>50323</v>
      </c>
      <c r="J35">
        <f t="shared" si="0"/>
        <v>201292</v>
      </c>
      <c r="K35" t="s">
        <v>33</v>
      </c>
    </row>
    <row r="36" spans="1:11">
      <c r="A36" t="s">
        <v>138</v>
      </c>
      <c r="B36">
        <v>45866</v>
      </c>
      <c r="C36" t="s">
        <v>139</v>
      </c>
      <c r="D36" t="s">
        <v>140</v>
      </c>
      <c r="E36" t="s">
        <v>31</v>
      </c>
      <c r="F36" t="s">
        <v>37</v>
      </c>
      <c r="G36" t="s">
        <v>78</v>
      </c>
      <c r="H36">
        <v>4</v>
      </c>
      <c r="I36">
        <v>79783</v>
      </c>
      <c r="J36">
        <f t="shared" si="0"/>
        <v>319132</v>
      </c>
      <c r="K36" t="s">
        <v>16</v>
      </c>
    </row>
    <row r="37" spans="1:11">
      <c r="A37" t="s">
        <v>141</v>
      </c>
      <c r="B37">
        <v>45757</v>
      </c>
      <c r="C37" t="s">
        <v>142</v>
      </c>
      <c r="D37" t="s">
        <v>143</v>
      </c>
      <c r="E37" t="s">
        <v>61</v>
      </c>
      <c r="F37" t="s">
        <v>45</v>
      </c>
      <c r="G37" t="s">
        <v>144</v>
      </c>
      <c r="H37">
        <v>2</v>
      </c>
      <c r="I37">
        <v>1390</v>
      </c>
      <c r="J37">
        <f t="shared" si="0"/>
        <v>2780</v>
      </c>
      <c r="K37" t="s">
        <v>47</v>
      </c>
    </row>
    <row r="38" spans="1:11">
      <c r="A38" t="s">
        <v>145</v>
      </c>
      <c r="B38">
        <v>45767</v>
      </c>
      <c r="C38" t="s">
        <v>146</v>
      </c>
      <c r="D38" t="s">
        <v>147</v>
      </c>
      <c r="E38" t="s">
        <v>61</v>
      </c>
      <c r="F38" t="s">
        <v>26</v>
      </c>
      <c r="G38" t="s">
        <v>124</v>
      </c>
      <c r="H38">
        <v>3</v>
      </c>
      <c r="I38">
        <v>57382</v>
      </c>
      <c r="J38">
        <f t="shared" si="0"/>
        <v>172146</v>
      </c>
      <c r="K38" t="s">
        <v>33</v>
      </c>
    </row>
    <row r="39" spans="1:11">
      <c r="A39" t="s">
        <v>148</v>
      </c>
      <c r="B39">
        <v>45638</v>
      </c>
      <c r="C39" t="s">
        <v>149</v>
      </c>
      <c r="D39" t="s">
        <v>150</v>
      </c>
      <c r="E39" t="s">
        <v>20</v>
      </c>
      <c r="F39" t="s">
        <v>14</v>
      </c>
      <c r="G39" t="s">
        <v>15</v>
      </c>
      <c r="H39">
        <v>4</v>
      </c>
      <c r="I39">
        <v>147086</v>
      </c>
      <c r="J39">
        <f t="shared" si="0"/>
        <v>588344</v>
      </c>
      <c r="K39" t="s">
        <v>33</v>
      </c>
    </row>
    <row r="40" spans="1:11">
      <c r="A40" t="s">
        <v>151</v>
      </c>
      <c r="B40">
        <v>45599</v>
      </c>
      <c r="C40" t="s">
        <v>152</v>
      </c>
      <c r="D40" t="s">
        <v>153</v>
      </c>
      <c r="E40" t="s">
        <v>13</v>
      </c>
      <c r="F40" t="s">
        <v>14</v>
      </c>
      <c r="G40" t="s">
        <v>32</v>
      </c>
      <c r="H40">
        <v>3</v>
      </c>
      <c r="I40">
        <v>68942</v>
      </c>
      <c r="J40">
        <f t="shared" si="0"/>
        <v>206826</v>
      </c>
      <c r="K40" t="s">
        <v>47</v>
      </c>
    </row>
    <row r="41" spans="1:11">
      <c r="A41" t="s">
        <v>154</v>
      </c>
      <c r="B41">
        <v>45684</v>
      </c>
      <c r="C41" t="s">
        <v>155</v>
      </c>
      <c r="D41" t="s">
        <v>156</v>
      </c>
      <c r="E41" t="s">
        <v>31</v>
      </c>
      <c r="F41" t="s">
        <v>14</v>
      </c>
      <c r="G41" t="s">
        <v>32</v>
      </c>
      <c r="H41">
        <v>2</v>
      </c>
      <c r="I41">
        <v>106609</v>
      </c>
      <c r="J41">
        <f t="shared" si="0"/>
        <v>213218</v>
      </c>
      <c r="K41" t="s">
        <v>47</v>
      </c>
    </row>
    <row r="42" spans="1:11">
      <c r="A42" t="s">
        <v>157</v>
      </c>
      <c r="B42">
        <v>45869</v>
      </c>
      <c r="C42" t="s">
        <v>158</v>
      </c>
      <c r="D42" t="s">
        <v>159</v>
      </c>
      <c r="E42" t="s">
        <v>13</v>
      </c>
      <c r="F42" t="s">
        <v>45</v>
      </c>
      <c r="G42" t="s">
        <v>144</v>
      </c>
      <c r="H42">
        <v>4</v>
      </c>
      <c r="I42">
        <v>1876</v>
      </c>
      <c r="J42">
        <f t="shared" si="0"/>
        <v>7504</v>
      </c>
      <c r="K42" t="s">
        <v>33</v>
      </c>
    </row>
    <row r="43" spans="1:11">
      <c r="A43" t="s">
        <v>160</v>
      </c>
      <c r="B43">
        <v>45825</v>
      </c>
      <c r="C43" t="s">
        <v>161</v>
      </c>
      <c r="D43" t="s">
        <v>162</v>
      </c>
      <c r="E43" t="s">
        <v>20</v>
      </c>
      <c r="F43" t="s">
        <v>45</v>
      </c>
      <c r="G43" t="s">
        <v>46</v>
      </c>
      <c r="H43">
        <v>1</v>
      </c>
      <c r="I43">
        <v>3235</v>
      </c>
      <c r="J43">
        <f t="shared" si="0"/>
        <v>3235</v>
      </c>
      <c r="K43" t="s">
        <v>22</v>
      </c>
    </row>
    <row r="44" spans="1:11">
      <c r="A44" t="s">
        <v>163</v>
      </c>
      <c r="B44">
        <v>45716</v>
      </c>
      <c r="C44" t="s">
        <v>164</v>
      </c>
      <c r="D44" t="s">
        <v>165</v>
      </c>
      <c r="E44" t="s">
        <v>13</v>
      </c>
      <c r="F44" t="s">
        <v>14</v>
      </c>
      <c r="G44" t="s">
        <v>108</v>
      </c>
      <c r="H44">
        <v>5</v>
      </c>
      <c r="I44">
        <v>10499</v>
      </c>
      <c r="J44">
        <f t="shared" si="0"/>
        <v>52495</v>
      </c>
      <c r="K44" t="s">
        <v>47</v>
      </c>
    </row>
    <row r="45" spans="1:11">
      <c r="A45" t="s">
        <v>166</v>
      </c>
      <c r="B45">
        <v>45654</v>
      </c>
      <c r="C45" t="s">
        <v>167</v>
      </c>
      <c r="D45" t="s">
        <v>168</v>
      </c>
      <c r="E45" t="s">
        <v>13</v>
      </c>
      <c r="F45" t="s">
        <v>45</v>
      </c>
      <c r="G45" t="s">
        <v>46</v>
      </c>
      <c r="H45">
        <v>4</v>
      </c>
      <c r="I45">
        <v>3304</v>
      </c>
      <c r="J45">
        <f t="shared" si="0"/>
        <v>13216</v>
      </c>
      <c r="K45" t="s">
        <v>47</v>
      </c>
    </row>
    <row r="46" spans="1:11">
      <c r="A46" t="s">
        <v>169</v>
      </c>
      <c r="B46">
        <v>45688</v>
      </c>
      <c r="C46" t="s">
        <v>170</v>
      </c>
      <c r="D46" t="s">
        <v>171</v>
      </c>
      <c r="E46" t="s">
        <v>31</v>
      </c>
      <c r="F46" t="s">
        <v>45</v>
      </c>
      <c r="G46" t="s">
        <v>46</v>
      </c>
      <c r="H46">
        <v>4</v>
      </c>
      <c r="I46">
        <v>597</v>
      </c>
      <c r="J46">
        <f t="shared" si="0"/>
        <v>2388</v>
      </c>
      <c r="K46" t="s">
        <v>22</v>
      </c>
    </row>
    <row r="47" spans="1:11">
      <c r="A47" t="s">
        <v>172</v>
      </c>
      <c r="B47">
        <v>45840</v>
      </c>
      <c r="C47" t="s">
        <v>173</v>
      </c>
      <c r="D47" t="s">
        <v>174</v>
      </c>
      <c r="E47" t="s">
        <v>61</v>
      </c>
      <c r="F47" t="s">
        <v>14</v>
      </c>
      <c r="G47" t="s">
        <v>21</v>
      </c>
      <c r="H47">
        <v>5</v>
      </c>
      <c r="I47">
        <v>122260</v>
      </c>
      <c r="J47">
        <f t="shared" si="0"/>
        <v>611300</v>
      </c>
      <c r="K47" t="s">
        <v>33</v>
      </c>
    </row>
    <row r="48" spans="1:11">
      <c r="A48" t="s">
        <v>175</v>
      </c>
      <c r="B48">
        <v>45626</v>
      </c>
      <c r="C48" t="s">
        <v>176</v>
      </c>
      <c r="D48" t="s">
        <v>177</v>
      </c>
      <c r="E48" t="s">
        <v>20</v>
      </c>
      <c r="F48" t="s">
        <v>45</v>
      </c>
      <c r="G48" t="s">
        <v>144</v>
      </c>
      <c r="H48">
        <v>3</v>
      </c>
      <c r="I48">
        <v>1626</v>
      </c>
      <c r="J48">
        <f t="shared" si="0"/>
        <v>4878</v>
      </c>
      <c r="K48" t="s">
        <v>33</v>
      </c>
    </row>
    <row r="49" spans="1:11">
      <c r="A49" t="s">
        <v>178</v>
      </c>
      <c r="B49">
        <v>45586</v>
      </c>
      <c r="C49" t="s">
        <v>179</v>
      </c>
      <c r="D49" t="s">
        <v>180</v>
      </c>
      <c r="E49" t="s">
        <v>13</v>
      </c>
      <c r="F49" t="s">
        <v>37</v>
      </c>
      <c r="G49" t="s">
        <v>38</v>
      </c>
      <c r="H49">
        <v>1</v>
      </c>
      <c r="I49">
        <v>93643</v>
      </c>
      <c r="J49">
        <f t="shared" si="0"/>
        <v>93643</v>
      </c>
      <c r="K49" t="s">
        <v>16</v>
      </c>
    </row>
    <row r="50" spans="1:11">
      <c r="A50" t="s">
        <v>181</v>
      </c>
      <c r="B50">
        <v>45570</v>
      </c>
      <c r="C50" t="s">
        <v>182</v>
      </c>
      <c r="D50" t="s">
        <v>183</v>
      </c>
      <c r="E50" t="s">
        <v>13</v>
      </c>
      <c r="F50" t="s">
        <v>45</v>
      </c>
      <c r="G50" t="s">
        <v>144</v>
      </c>
      <c r="H50">
        <v>3</v>
      </c>
      <c r="I50">
        <v>2764</v>
      </c>
      <c r="J50">
        <f t="shared" si="0"/>
        <v>8292</v>
      </c>
      <c r="K50" t="s">
        <v>22</v>
      </c>
    </row>
    <row r="51" spans="1:11">
      <c r="A51" t="s">
        <v>184</v>
      </c>
      <c r="B51">
        <v>45602</v>
      </c>
      <c r="C51" t="s">
        <v>185</v>
      </c>
      <c r="D51" t="s">
        <v>186</v>
      </c>
      <c r="E51" t="s">
        <v>31</v>
      </c>
      <c r="F51" t="s">
        <v>45</v>
      </c>
      <c r="G51" t="s">
        <v>51</v>
      </c>
      <c r="H51">
        <v>2</v>
      </c>
      <c r="I51">
        <v>2282</v>
      </c>
      <c r="J51">
        <f t="shared" si="0"/>
        <v>4564</v>
      </c>
      <c r="K51" t="s">
        <v>33</v>
      </c>
    </row>
    <row r="52" spans="1:11">
      <c r="A52" t="s">
        <v>187</v>
      </c>
      <c r="B52">
        <v>45721</v>
      </c>
      <c r="C52" t="s">
        <v>188</v>
      </c>
      <c r="D52" t="s">
        <v>189</v>
      </c>
      <c r="E52" t="s">
        <v>13</v>
      </c>
      <c r="F52" t="s">
        <v>14</v>
      </c>
      <c r="G52" t="s">
        <v>108</v>
      </c>
      <c r="H52">
        <v>1</v>
      </c>
      <c r="I52">
        <v>35936</v>
      </c>
      <c r="J52">
        <f t="shared" si="0"/>
        <v>35936</v>
      </c>
      <c r="K52" t="s">
        <v>16</v>
      </c>
    </row>
    <row r="53" spans="1:11">
      <c r="A53" t="s">
        <v>190</v>
      </c>
      <c r="B53">
        <v>45863</v>
      </c>
      <c r="C53" t="s">
        <v>191</v>
      </c>
      <c r="D53" t="s">
        <v>192</v>
      </c>
      <c r="E53" t="s">
        <v>61</v>
      </c>
      <c r="F53" t="s">
        <v>37</v>
      </c>
      <c r="G53" t="s">
        <v>78</v>
      </c>
      <c r="H53">
        <v>2</v>
      </c>
      <c r="I53">
        <v>46573</v>
      </c>
      <c r="J53">
        <f t="shared" si="0"/>
        <v>93146</v>
      </c>
      <c r="K53" t="s">
        <v>22</v>
      </c>
    </row>
    <row r="54" spans="1:11">
      <c r="A54" t="s">
        <v>193</v>
      </c>
      <c r="B54">
        <v>45709</v>
      </c>
      <c r="C54" t="s">
        <v>194</v>
      </c>
      <c r="D54" t="s">
        <v>195</v>
      </c>
      <c r="E54" t="s">
        <v>20</v>
      </c>
      <c r="F54" t="s">
        <v>37</v>
      </c>
      <c r="G54" t="s">
        <v>62</v>
      </c>
      <c r="H54">
        <v>4</v>
      </c>
      <c r="I54">
        <v>42892</v>
      </c>
      <c r="J54">
        <f t="shared" si="0"/>
        <v>171568</v>
      </c>
      <c r="K54" t="s">
        <v>22</v>
      </c>
    </row>
    <row r="55" spans="1:11">
      <c r="A55" t="s">
        <v>196</v>
      </c>
      <c r="B55">
        <v>45592</v>
      </c>
      <c r="C55" t="s">
        <v>197</v>
      </c>
      <c r="D55" t="s">
        <v>198</v>
      </c>
      <c r="E55" t="s">
        <v>31</v>
      </c>
      <c r="F55" t="s">
        <v>14</v>
      </c>
      <c r="G55" t="s">
        <v>108</v>
      </c>
      <c r="H55">
        <v>1</v>
      </c>
      <c r="I55">
        <v>66815</v>
      </c>
      <c r="J55">
        <f t="shared" si="0"/>
        <v>66815</v>
      </c>
      <c r="K55" t="s">
        <v>33</v>
      </c>
    </row>
    <row r="56" spans="1:11">
      <c r="A56" t="s">
        <v>199</v>
      </c>
      <c r="B56">
        <v>45652</v>
      </c>
      <c r="C56" t="s">
        <v>200</v>
      </c>
      <c r="D56" t="s">
        <v>201</v>
      </c>
      <c r="E56" t="s">
        <v>20</v>
      </c>
      <c r="F56" t="s">
        <v>37</v>
      </c>
      <c r="G56" t="s">
        <v>62</v>
      </c>
      <c r="H56">
        <v>3</v>
      </c>
      <c r="I56">
        <v>9510</v>
      </c>
      <c r="J56">
        <f t="shared" si="0"/>
        <v>28530</v>
      </c>
      <c r="K56" t="s">
        <v>47</v>
      </c>
    </row>
    <row r="57" spans="1:11">
      <c r="A57" t="s">
        <v>202</v>
      </c>
      <c r="B57">
        <v>45582</v>
      </c>
      <c r="C57" t="s">
        <v>203</v>
      </c>
      <c r="D57" t="s">
        <v>204</v>
      </c>
      <c r="E57" t="s">
        <v>13</v>
      </c>
      <c r="F57" t="s">
        <v>45</v>
      </c>
      <c r="G57" t="s">
        <v>144</v>
      </c>
      <c r="H57">
        <v>1</v>
      </c>
      <c r="I57">
        <v>1460</v>
      </c>
      <c r="J57">
        <f t="shared" si="0"/>
        <v>1460</v>
      </c>
      <c r="K57" t="s">
        <v>22</v>
      </c>
    </row>
    <row r="58" spans="1:11">
      <c r="A58" t="s">
        <v>205</v>
      </c>
      <c r="B58">
        <v>45583</v>
      </c>
      <c r="C58" t="s">
        <v>206</v>
      </c>
      <c r="D58" t="s">
        <v>207</v>
      </c>
      <c r="E58" t="s">
        <v>13</v>
      </c>
      <c r="F58" t="s">
        <v>26</v>
      </c>
      <c r="G58" t="s">
        <v>27</v>
      </c>
      <c r="H58">
        <v>1</v>
      </c>
      <c r="I58">
        <v>79582</v>
      </c>
      <c r="J58">
        <f t="shared" si="0"/>
        <v>79582</v>
      </c>
      <c r="K58" t="s">
        <v>22</v>
      </c>
    </row>
    <row r="59" spans="1:11">
      <c r="A59" t="s">
        <v>208</v>
      </c>
      <c r="B59">
        <v>45556</v>
      </c>
      <c r="C59" t="s">
        <v>209</v>
      </c>
      <c r="D59" t="s">
        <v>210</v>
      </c>
      <c r="E59" t="s">
        <v>20</v>
      </c>
      <c r="F59" t="s">
        <v>37</v>
      </c>
      <c r="G59" t="s">
        <v>62</v>
      </c>
      <c r="H59">
        <v>3</v>
      </c>
      <c r="I59">
        <v>19817</v>
      </c>
      <c r="J59">
        <f t="shared" si="0"/>
        <v>59451</v>
      </c>
      <c r="K59" t="s">
        <v>33</v>
      </c>
    </row>
    <row r="60" spans="1:11">
      <c r="A60" t="s">
        <v>211</v>
      </c>
      <c r="B60">
        <v>45669</v>
      </c>
      <c r="C60" t="s">
        <v>212</v>
      </c>
      <c r="D60" t="s">
        <v>213</v>
      </c>
      <c r="E60" t="s">
        <v>13</v>
      </c>
      <c r="F60" t="s">
        <v>45</v>
      </c>
      <c r="G60" t="s">
        <v>46</v>
      </c>
      <c r="H60">
        <v>3</v>
      </c>
      <c r="I60">
        <v>738</v>
      </c>
      <c r="J60">
        <f t="shared" si="0"/>
        <v>2214</v>
      </c>
      <c r="K60" t="s">
        <v>16</v>
      </c>
    </row>
    <row r="61" spans="1:11">
      <c r="A61" t="s">
        <v>214</v>
      </c>
      <c r="B61">
        <v>45893</v>
      </c>
      <c r="C61" t="s">
        <v>215</v>
      </c>
      <c r="D61" t="s">
        <v>216</v>
      </c>
      <c r="E61" t="s">
        <v>13</v>
      </c>
      <c r="F61" t="s">
        <v>45</v>
      </c>
      <c r="G61" t="s">
        <v>46</v>
      </c>
      <c r="H61">
        <v>3</v>
      </c>
      <c r="I61">
        <v>2925</v>
      </c>
      <c r="J61">
        <f t="shared" si="0"/>
        <v>8775</v>
      </c>
      <c r="K61" t="s">
        <v>47</v>
      </c>
    </row>
    <row r="62" spans="1:11">
      <c r="A62" t="s">
        <v>217</v>
      </c>
      <c r="B62">
        <v>45752</v>
      </c>
      <c r="C62" t="s">
        <v>218</v>
      </c>
      <c r="D62" t="s">
        <v>219</v>
      </c>
      <c r="E62" t="s">
        <v>20</v>
      </c>
      <c r="F62" t="s">
        <v>26</v>
      </c>
      <c r="G62" t="s">
        <v>27</v>
      </c>
      <c r="H62">
        <v>1</v>
      </c>
      <c r="I62">
        <v>68587</v>
      </c>
      <c r="J62">
        <f t="shared" si="0"/>
        <v>68587</v>
      </c>
      <c r="K62" t="s">
        <v>22</v>
      </c>
    </row>
    <row r="63" spans="1:11">
      <c r="A63" t="s">
        <v>220</v>
      </c>
      <c r="B63">
        <v>45583</v>
      </c>
      <c r="C63" t="s">
        <v>221</v>
      </c>
      <c r="D63" t="s">
        <v>222</v>
      </c>
      <c r="E63" t="s">
        <v>20</v>
      </c>
      <c r="F63" t="s">
        <v>26</v>
      </c>
      <c r="G63" t="s">
        <v>27</v>
      </c>
      <c r="H63">
        <v>2</v>
      </c>
      <c r="I63">
        <v>8703</v>
      </c>
      <c r="J63">
        <f t="shared" si="0"/>
        <v>17406</v>
      </c>
      <c r="K63" t="s">
        <v>22</v>
      </c>
    </row>
    <row r="64" spans="1:11">
      <c r="A64" t="s">
        <v>223</v>
      </c>
      <c r="B64">
        <v>45624</v>
      </c>
      <c r="C64" t="s">
        <v>224</v>
      </c>
      <c r="D64" t="s">
        <v>225</v>
      </c>
      <c r="E64" t="s">
        <v>13</v>
      </c>
      <c r="F64" t="s">
        <v>45</v>
      </c>
      <c r="G64" t="s">
        <v>131</v>
      </c>
      <c r="H64">
        <v>4</v>
      </c>
      <c r="I64">
        <v>581</v>
      </c>
      <c r="J64">
        <f t="shared" si="0"/>
        <v>2324</v>
      </c>
      <c r="K64" t="s">
        <v>47</v>
      </c>
    </row>
    <row r="65" spans="1:11">
      <c r="A65" t="s">
        <v>226</v>
      </c>
      <c r="B65">
        <v>45825</v>
      </c>
      <c r="C65" t="s">
        <v>227</v>
      </c>
      <c r="D65" t="s">
        <v>228</v>
      </c>
      <c r="E65" t="s">
        <v>31</v>
      </c>
      <c r="F65" t="s">
        <v>37</v>
      </c>
      <c r="G65" t="s">
        <v>38</v>
      </c>
      <c r="H65">
        <v>5</v>
      </c>
      <c r="I65">
        <v>49012</v>
      </c>
      <c r="J65">
        <f t="shared" si="0"/>
        <v>245060</v>
      </c>
      <c r="K65" t="s">
        <v>33</v>
      </c>
    </row>
    <row r="66" spans="1:11">
      <c r="A66" t="s">
        <v>229</v>
      </c>
      <c r="B66">
        <v>45583</v>
      </c>
      <c r="C66" t="s">
        <v>230</v>
      </c>
      <c r="D66" t="s">
        <v>231</v>
      </c>
      <c r="E66" t="s">
        <v>31</v>
      </c>
      <c r="F66" t="s">
        <v>37</v>
      </c>
      <c r="G66" t="s">
        <v>78</v>
      </c>
      <c r="H66">
        <v>4</v>
      </c>
      <c r="I66">
        <v>43312</v>
      </c>
      <c r="J66">
        <f t="shared" ref="J66:J129" si="1">(H66*I66)</f>
        <v>173248</v>
      </c>
      <c r="K66" t="s">
        <v>33</v>
      </c>
    </row>
    <row r="67" spans="1:11">
      <c r="A67" t="s">
        <v>232</v>
      </c>
      <c r="B67">
        <v>45726</v>
      </c>
      <c r="C67" t="s">
        <v>206</v>
      </c>
      <c r="D67" t="s">
        <v>233</v>
      </c>
      <c r="E67" t="s">
        <v>31</v>
      </c>
      <c r="F67" t="s">
        <v>37</v>
      </c>
      <c r="G67" t="s">
        <v>38</v>
      </c>
      <c r="H67">
        <v>3</v>
      </c>
      <c r="I67">
        <v>81989</v>
      </c>
      <c r="J67">
        <f t="shared" si="1"/>
        <v>245967</v>
      </c>
      <c r="K67" t="s">
        <v>22</v>
      </c>
    </row>
    <row r="68" spans="1:11">
      <c r="A68" t="s">
        <v>234</v>
      </c>
      <c r="B68">
        <v>45722</v>
      </c>
      <c r="C68" t="s">
        <v>235</v>
      </c>
      <c r="D68" t="s">
        <v>236</v>
      </c>
      <c r="E68" t="s">
        <v>31</v>
      </c>
      <c r="F68" t="s">
        <v>37</v>
      </c>
      <c r="G68" t="s">
        <v>38</v>
      </c>
      <c r="H68">
        <v>4</v>
      </c>
      <c r="I68">
        <v>53760</v>
      </c>
      <c r="J68">
        <f t="shared" si="1"/>
        <v>215040</v>
      </c>
      <c r="K68" t="s">
        <v>22</v>
      </c>
    </row>
    <row r="69" spans="1:11">
      <c r="A69" t="s">
        <v>237</v>
      </c>
      <c r="B69">
        <v>45700</v>
      </c>
      <c r="C69" t="s">
        <v>238</v>
      </c>
      <c r="D69" t="s">
        <v>239</v>
      </c>
      <c r="E69" t="s">
        <v>31</v>
      </c>
      <c r="F69" t="s">
        <v>26</v>
      </c>
      <c r="G69" t="s">
        <v>27</v>
      </c>
      <c r="H69">
        <v>2</v>
      </c>
      <c r="I69">
        <v>63302</v>
      </c>
      <c r="J69">
        <f t="shared" si="1"/>
        <v>126604</v>
      </c>
      <c r="K69" t="s">
        <v>47</v>
      </c>
    </row>
    <row r="70" spans="1:11">
      <c r="A70" t="s">
        <v>240</v>
      </c>
      <c r="B70">
        <v>45602</v>
      </c>
      <c r="C70" t="s">
        <v>241</v>
      </c>
      <c r="D70" t="s">
        <v>242</v>
      </c>
      <c r="E70" t="s">
        <v>31</v>
      </c>
      <c r="F70" t="s">
        <v>37</v>
      </c>
      <c r="G70" t="s">
        <v>62</v>
      </c>
      <c r="H70">
        <v>5</v>
      </c>
      <c r="I70">
        <v>9247</v>
      </c>
      <c r="J70">
        <f t="shared" si="1"/>
        <v>46235</v>
      </c>
      <c r="K70" t="s">
        <v>47</v>
      </c>
    </row>
    <row r="71" spans="1:11">
      <c r="A71" t="s">
        <v>243</v>
      </c>
      <c r="B71">
        <v>45632</v>
      </c>
      <c r="C71" t="s">
        <v>244</v>
      </c>
      <c r="D71" t="s">
        <v>245</v>
      </c>
      <c r="E71" t="s">
        <v>20</v>
      </c>
      <c r="F71" t="s">
        <v>26</v>
      </c>
      <c r="G71" t="s">
        <v>27</v>
      </c>
      <c r="H71">
        <v>5</v>
      </c>
      <c r="I71">
        <v>42170</v>
      </c>
      <c r="J71">
        <f t="shared" si="1"/>
        <v>210850</v>
      </c>
      <c r="K71" t="s">
        <v>33</v>
      </c>
    </row>
    <row r="72" spans="1:11">
      <c r="A72" t="s">
        <v>246</v>
      </c>
      <c r="B72">
        <v>45775</v>
      </c>
      <c r="C72" t="s">
        <v>247</v>
      </c>
      <c r="D72" t="s">
        <v>248</v>
      </c>
      <c r="E72" t="s">
        <v>13</v>
      </c>
      <c r="F72" t="s">
        <v>45</v>
      </c>
      <c r="G72" t="s">
        <v>51</v>
      </c>
      <c r="H72">
        <v>3</v>
      </c>
      <c r="I72">
        <v>1299</v>
      </c>
      <c r="J72">
        <f t="shared" si="1"/>
        <v>3897</v>
      </c>
      <c r="K72" t="s">
        <v>47</v>
      </c>
    </row>
    <row r="73" spans="1:11">
      <c r="A73" t="s">
        <v>249</v>
      </c>
      <c r="B73">
        <v>45900</v>
      </c>
      <c r="C73" t="s">
        <v>250</v>
      </c>
      <c r="D73" t="s">
        <v>251</v>
      </c>
      <c r="E73" t="s">
        <v>13</v>
      </c>
      <c r="F73" t="s">
        <v>45</v>
      </c>
      <c r="G73" t="s">
        <v>51</v>
      </c>
      <c r="H73">
        <v>5</v>
      </c>
      <c r="I73">
        <v>3503</v>
      </c>
      <c r="J73">
        <f t="shared" si="1"/>
        <v>17515</v>
      </c>
      <c r="K73" t="s">
        <v>33</v>
      </c>
    </row>
    <row r="74" spans="1:11">
      <c r="A74" t="s">
        <v>252</v>
      </c>
      <c r="B74">
        <v>45749</v>
      </c>
      <c r="C74" t="s">
        <v>253</v>
      </c>
      <c r="D74" t="s">
        <v>254</v>
      </c>
      <c r="E74" t="s">
        <v>61</v>
      </c>
      <c r="F74" t="s">
        <v>37</v>
      </c>
      <c r="G74" t="s">
        <v>38</v>
      </c>
      <c r="H74">
        <v>4</v>
      </c>
      <c r="I74">
        <v>54957</v>
      </c>
      <c r="J74">
        <f t="shared" si="1"/>
        <v>219828</v>
      </c>
      <c r="K74" t="s">
        <v>33</v>
      </c>
    </row>
    <row r="75" spans="1:11">
      <c r="A75" t="s">
        <v>255</v>
      </c>
      <c r="B75">
        <v>45912</v>
      </c>
      <c r="C75" t="s">
        <v>256</v>
      </c>
      <c r="D75" t="s">
        <v>257</v>
      </c>
      <c r="E75" t="s">
        <v>61</v>
      </c>
      <c r="F75" t="s">
        <v>37</v>
      </c>
      <c r="G75" t="s">
        <v>38</v>
      </c>
      <c r="H75">
        <v>5</v>
      </c>
      <c r="I75">
        <v>84361</v>
      </c>
      <c r="J75">
        <f t="shared" si="1"/>
        <v>421805</v>
      </c>
      <c r="K75" t="s">
        <v>33</v>
      </c>
    </row>
    <row r="76" spans="1:11">
      <c r="A76" t="s">
        <v>258</v>
      </c>
      <c r="B76">
        <v>45728</v>
      </c>
      <c r="C76" t="s">
        <v>259</v>
      </c>
      <c r="D76" t="s">
        <v>260</v>
      </c>
      <c r="E76" t="s">
        <v>61</v>
      </c>
      <c r="F76" t="s">
        <v>14</v>
      </c>
      <c r="G76" t="s">
        <v>15</v>
      </c>
      <c r="H76">
        <v>3</v>
      </c>
      <c r="I76">
        <v>71340</v>
      </c>
      <c r="J76">
        <f t="shared" si="1"/>
        <v>214020</v>
      </c>
      <c r="K76" t="s">
        <v>22</v>
      </c>
    </row>
    <row r="77" spans="1:11">
      <c r="A77" t="s">
        <v>261</v>
      </c>
      <c r="B77">
        <v>45670</v>
      </c>
      <c r="C77" t="s">
        <v>262</v>
      </c>
      <c r="D77" t="s">
        <v>263</v>
      </c>
      <c r="E77" t="s">
        <v>61</v>
      </c>
      <c r="F77" t="s">
        <v>45</v>
      </c>
      <c r="G77" t="s">
        <v>46</v>
      </c>
      <c r="H77">
        <v>1</v>
      </c>
      <c r="I77">
        <v>1916</v>
      </c>
      <c r="J77">
        <f t="shared" si="1"/>
        <v>1916</v>
      </c>
      <c r="K77" t="s">
        <v>22</v>
      </c>
    </row>
    <row r="78" spans="1:11">
      <c r="A78" t="s">
        <v>264</v>
      </c>
      <c r="B78">
        <v>45784</v>
      </c>
      <c r="C78" t="s">
        <v>265</v>
      </c>
      <c r="D78" t="s">
        <v>266</v>
      </c>
      <c r="E78" t="s">
        <v>61</v>
      </c>
      <c r="F78" t="s">
        <v>26</v>
      </c>
      <c r="G78" t="s">
        <v>124</v>
      </c>
      <c r="H78">
        <v>4</v>
      </c>
      <c r="I78">
        <v>22302</v>
      </c>
      <c r="J78">
        <f t="shared" si="1"/>
        <v>89208</v>
      </c>
      <c r="K78" t="s">
        <v>33</v>
      </c>
    </row>
    <row r="79" spans="1:11">
      <c r="A79" t="s">
        <v>267</v>
      </c>
      <c r="B79">
        <v>45649</v>
      </c>
      <c r="C79" t="s">
        <v>268</v>
      </c>
      <c r="D79" t="s">
        <v>269</v>
      </c>
      <c r="E79" t="s">
        <v>13</v>
      </c>
      <c r="F79" t="s">
        <v>45</v>
      </c>
      <c r="G79" t="s">
        <v>51</v>
      </c>
      <c r="H79">
        <v>3</v>
      </c>
      <c r="I79">
        <v>2902</v>
      </c>
      <c r="J79">
        <f t="shared" si="1"/>
        <v>8706</v>
      </c>
      <c r="K79" t="s">
        <v>47</v>
      </c>
    </row>
    <row r="80" spans="1:11">
      <c r="A80" t="s">
        <v>270</v>
      </c>
      <c r="B80">
        <v>45915</v>
      </c>
      <c r="C80" t="s">
        <v>271</v>
      </c>
      <c r="D80" t="s">
        <v>272</v>
      </c>
      <c r="E80" t="s">
        <v>13</v>
      </c>
      <c r="F80" t="s">
        <v>26</v>
      </c>
      <c r="G80" t="s">
        <v>124</v>
      </c>
      <c r="H80">
        <v>5</v>
      </c>
      <c r="I80">
        <v>57647</v>
      </c>
      <c r="J80">
        <f t="shared" si="1"/>
        <v>288235</v>
      </c>
      <c r="K80" t="s">
        <v>22</v>
      </c>
    </row>
    <row r="81" spans="1:11">
      <c r="A81" t="s">
        <v>273</v>
      </c>
      <c r="B81">
        <v>45711</v>
      </c>
      <c r="C81" t="s">
        <v>274</v>
      </c>
      <c r="D81" t="s">
        <v>275</v>
      </c>
      <c r="E81" t="s">
        <v>61</v>
      </c>
      <c r="F81" t="s">
        <v>14</v>
      </c>
      <c r="G81" t="s">
        <v>21</v>
      </c>
      <c r="H81">
        <v>3</v>
      </c>
      <c r="I81">
        <v>56530</v>
      </c>
      <c r="J81">
        <f t="shared" si="1"/>
        <v>169590</v>
      </c>
      <c r="K81" t="s">
        <v>47</v>
      </c>
    </row>
    <row r="82" spans="1:11">
      <c r="A82" t="s">
        <v>276</v>
      </c>
      <c r="B82">
        <v>45769</v>
      </c>
      <c r="C82" t="s">
        <v>277</v>
      </c>
      <c r="D82" t="s">
        <v>278</v>
      </c>
      <c r="E82" t="s">
        <v>61</v>
      </c>
      <c r="F82" t="s">
        <v>14</v>
      </c>
      <c r="G82" t="s">
        <v>21</v>
      </c>
      <c r="H82">
        <v>5</v>
      </c>
      <c r="I82">
        <v>127201</v>
      </c>
      <c r="J82">
        <f t="shared" si="1"/>
        <v>636005</v>
      </c>
      <c r="K82" t="s">
        <v>47</v>
      </c>
    </row>
    <row r="83" spans="1:11">
      <c r="A83" t="s">
        <v>279</v>
      </c>
      <c r="B83">
        <v>45908</v>
      </c>
      <c r="C83" t="s">
        <v>280</v>
      </c>
      <c r="D83" t="s">
        <v>281</v>
      </c>
      <c r="E83" t="s">
        <v>20</v>
      </c>
      <c r="F83" t="s">
        <v>14</v>
      </c>
      <c r="G83" t="s">
        <v>21</v>
      </c>
      <c r="H83">
        <v>4</v>
      </c>
      <c r="I83">
        <v>137279</v>
      </c>
      <c r="J83">
        <f t="shared" si="1"/>
        <v>549116</v>
      </c>
      <c r="K83" t="s">
        <v>16</v>
      </c>
    </row>
    <row r="84" spans="1:11">
      <c r="A84" t="s">
        <v>282</v>
      </c>
      <c r="B84">
        <v>45852</v>
      </c>
      <c r="C84" t="s">
        <v>283</v>
      </c>
      <c r="D84" t="s">
        <v>284</v>
      </c>
      <c r="E84" t="s">
        <v>61</v>
      </c>
      <c r="F84" t="s">
        <v>45</v>
      </c>
      <c r="G84" t="s">
        <v>144</v>
      </c>
      <c r="H84">
        <v>4</v>
      </c>
      <c r="I84">
        <v>3552</v>
      </c>
      <c r="J84">
        <f t="shared" si="1"/>
        <v>14208</v>
      </c>
      <c r="K84" t="s">
        <v>22</v>
      </c>
    </row>
    <row r="85" spans="1:11">
      <c r="A85" t="s">
        <v>285</v>
      </c>
      <c r="B85">
        <v>45631</v>
      </c>
      <c r="C85" t="s">
        <v>286</v>
      </c>
      <c r="D85" t="s">
        <v>287</v>
      </c>
      <c r="E85" t="s">
        <v>20</v>
      </c>
      <c r="F85" t="s">
        <v>14</v>
      </c>
      <c r="G85" t="s">
        <v>15</v>
      </c>
      <c r="H85">
        <v>5</v>
      </c>
      <c r="I85">
        <v>17370</v>
      </c>
      <c r="J85">
        <f t="shared" si="1"/>
        <v>86850</v>
      </c>
      <c r="K85" t="s">
        <v>22</v>
      </c>
    </row>
    <row r="86" spans="1:11">
      <c r="A86" t="s">
        <v>288</v>
      </c>
      <c r="B86">
        <v>45760</v>
      </c>
      <c r="C86" t="s">
        <v>289</v>
      </c>
      <c r="D86" t="s">
        <v>290</v>
      </c>
      <c r="E86" t="s">
        <v>61</v>
      </c>
      <c r="F86" t="s">
        <v>14</v>
      </c>
      <c r="G86" t="s">
        <v>108</v>
      </c>
      <c r="H86">
        <v>1</v>
      </c>
      <c r="I86">
        <v>109961</v>
      </c>
      <c r="J86">
        <f t="shared" si="1"/>
        <v>109961</v>
      </c>
      <c r="K86" t="s">
        <v>22</v>
      </c>
    </row>
    <row r="87" spans="1:11">
      <c r="A87" t="s">
        <v>291</v>
      </c>
      <c r="B87">
        <v>45579</v>
      </c>
      <c r="C87" t="s">
        <v>292</v>
      </c>
      <c r="D87" t="s">
        <v>293</v>
      </c>
      <c r="E87" t="s">
        <v>61</v>
      </c>
      <c r="F87" t="s">
        <v>26</v>
      </c>
      <c r="G87" t="s">
        <v>294</v>
      </c>
      <c r="H87">
        <v>4</v>
      </c>
      <c r="I87">
        <v>77421</v>
      </c>
      <c r="J87">
        <f t="shared" si="1"/>
        <v>309684</v>
      </c>
      <c r="K87" t="s">
        <v>47</v>
      </c>
    </row>
    <row r="88" spans="1:11">
      <c r="A88" t="s">
        <v>295</v>
      </c>
      <c r="B88">
        <v>45904</v>
      </c>
      <c r="C88" t="s">
        <v>296</v>
      </c>
      <c r="D88" t="s">
        <v>297</v>
      </c>
      <c r="E88" t="s">
        <v>20</v>
      </c>
      <c r="F88" t="s">
        <v>45</v>
      </c>
      <c r="G88" t="s">
        <v>144</v>
      </c>
      <c r="H88">
        <v>4</v>
      </c>
      <c r="I88">
        <v>3964</v>
      </c>
      <c r="J88">
        <f t="shared" si="1"/>
        <v>15856</v>
      </c>
      <c r="K88" t="s">
        <v>16</v>
      </c>
    </row>
    <row r="89" spans="1:11">
      <c r="A89" t="s">
        <v>298</v>
      </c>
      <c r="B89">
        <v>45840</v>
      </c>
      <c r="C89" t="s">
        <v>299</v>
      </c>
      <c r="D89" t="s">
        <v>300</v>
      </c>
      <c r="E89" t="s">
        <v>31</v>
      </c>
      <c r="F89" t="s">
        <v>45</v>
      </c>
      <c r="G89" t="s">
        <v>51</v>
      </c>
      <c r="H89">
        <v>3</v>
      </c>
      <c r="I89">
        <v>2045</v>
      </c>
      <c r="J89">
        <f t="shared" si="1"/>
        <v>6135</v>
      </c>
      <c r="K89" t="s">
        <v>33</v>
      </c>
    </row>
    <row r="90" spans="1:11">
      <c r="A90" t="s">
        <v>301</v>
      </c>
      <c r="B90">
        <v>45756</v>
      </c>
      <c r="C90" t="s">
        <v>302</v>
      </c>
      <c r="D90" t="s">
        <v>303</v>
      </c>
      <c r="E90" t="s">
        <v>61</v>
      </c>
      <c r="F90" t="s">
        <v>14</v>
      </c>
      <c r="G90" t="s">
        <v>32</v>
      </c>
      <c r="H90">
        <v>4</v>
      </c>
      <c r="I90">
        <v>102472</v>
      </c>
      <c r="J90">
        <f t="shared" si="1"/>
        <v>409888</v>
      </c>
      <c r="K90" t="s">
        <v>16</v>
      </c>
    </row>
    <row r="91" spans="1:11">
      <c r="A91" t="s">
        <v>304</v>
      </c>
      <c r="B91">
        <v>45786</v>
      </c>
      <c r="C91" t="s">
        <v>305</v>
      </c>
      <c r="D91" t="s">
        <v>306</v>
      </c>
      <c r="E91" t="s">
        <v>31</v>
      </c>
      <c r="F91" t="s">
        <v>37</v>
      </c>
      <c r="G91" t="s">
        <v>38</v>
      </c>
      <c r="H91">
        <v>5</v>
      </c>
      <c r="I91">
        <v>45579</v>
      </c>
      <c r="J91">
        <f t="shared" si="1"/>
        <v>227895</v>
      </c>
      <c r="K91" t="s">
        <v>47</v>
      </c>
    </row>
    <row r="92" spans="1:11">
      <c r="A92" t="s">
        <v>307</v>
      </c>
      <c r="B92">
        <v>45783</v>
      </c>
      <c r="C92" t="s">
        <v>308</v>
      </c>
      <c r="D92" t="s">
        <v>309</v>
      </c>
      <c r="E92" t="s">
        <v>61</v>
      </c>
      <c r="F92" t="s">
        <v>14</v>
      </c>
      <c r="G92" t="s">
        <v>15</v>
      </c>
      <c r="H92">
        <v>5</v>
      </c>
      <c r="I92">
        <v>40515</v>
      </c>
      <c r="J92">
        <f t="shared" si="1"/>
        <v>202575</v>
      </c>
      <c r="K92" t="s">
        <v>16</v>
      </c>
    </row>
    <row r="93" spans="1:11">
      <c r="A93" t="s">
        <v>310</v>
      </c>
      <c r="B93">
        <v>45760</v>
      </c>
      <c r="C93" t="s">
        <v>311</v>
      </c>
      <c r="D93" t="s">
        <v>312</v>
      </c>
      <c r="E93" t="s">
        <v>13</v>
      </c>
      <c r="F93" t="s">
        <v>45</v>
      </c>
      <c r="G93" t="s">
        <v>144</v>
      </c>
      <c r="H93">
        <v>1</v>
      </c>
      <c r="I93">
        <v>889</v>
      </c>
      <c r="J93">
        <f t="shared" si="1"/>
        <v>889</v>
      </c>
      <c r="K93" t="s">
        <v>22</v>
      </c>
    </row>
    <row r="94" spans="1:11">
      <c r="A94" t="s">
        <v>313</v>
      </c>
      <c r="B94">
        <v>45601</v>
      </c>
      <c r="C94" t="s">
        <v>314</v>
      </c>
      <c r="D94" t="s">
        <v>315</v>
      </c>
      <c r="E94" t="s">
        <v>20</v>
      </c>
      <c r="F94" t="s">
        <v>45</v>
      </c>
      <c r="G94" t="s">
        <v>46</v>
      </c>
      <c r="H94">
        <v>1</v>
      </c>
      <c r="I94">
        <v>4607</v>
      </c>
      <c r="J94">
        <f t="shared" si="1"/>
        <v>4607</v>
      </c>
      <c r="K94" t="s">
        <v>16</v>
      </c>
    </row>
    <row r="95" spans="1:11">
      <c r="A95" t="s">
        <v>316</v>
      </c>
      <c r="B95">
        <v>45793</v>
      </c>
      <c r="C95" t="s">
        <v>317</v>
      </c>
      <c r="D95" t="s">
        <v>318</v>
      </c>
      <c r="E95" t="s">
        <v>20</v>
      </c>
      <c r="F95" t="s">
        <v>14</v>
      </c>
      <c r="G95" t="s">
        <v>21</v>
      </c>
      <c r="H95">
        <v>3</v>
      </c>
      <c r="I95">
        <v>126557</v>
      </c>
      <c r="J95">
        <f t="shared" si="1"/>
        <v>379671</v>
      </c>
      <c r="K95" t="s">
        <v>33</v>
      </c>
    </row>
    <row r="96" spans="1:11">
      <c r="A96" t="s">
        <v>319</v>
      </c>
      <c r="B96">
        <v>45768</v>
      </c>
      <c r="C96" t="s">
        <v>320</v>
      </c>
      <c r="D96" t="s">
        <v>321</v>
      </c>
      <c r="E96" t="s">
        <v>13</v>
      </c>
      <c r="F96" t="s">
        <v>14</v>
      </c>
      <c r="G96" t="s">
        <v>15</v>
      </c>
      <c r="H96">
        <v>1</v>
      </c>
      <c r="I96">
        <v>93197</v>
      </c>
      <c r="J96">
        <f t="shared" si="1"/>
        <v>93197</v>
      </c>
      <c r="K96" t="s">
        <v>47</v>
      </c>
    </row>
    <row r="97" spans="1:11">
      <c r="A97" t="s">
        <v>322</v>
      </c>
      <c r="B97">
        <v>45649</v>
      </c>
      <c r="C97" t="s">
        <v>323</v>
      </c>
      <c r="D97" t="s">
        <v>324</v>
      </c>
      <c r="E97" t="s">
        <v>61</v>
      </c>
      <c r="F97" t="s">
        <v>14</v>
      </c>
      <c r="G97" t="s">
        <v>32</v>
      </c>
      <c r="H97">
        <v>1</v>
      </c>
      <c r="I97">
        <v>12770</v>
      </c>
      <c r="J97">
        <f t="shared" si="1"/>
        <v>12770</v>
      </c>
      <c r="K97" t="s">
        <v>47</v>
      </c>
    </row>
    <row r="98" spans="1:11">
      <c r="A98" t="s">
        <v>325</v>
      </c>
      <c r="B98">
        <v>45841</v>
      </c>
      <c r="C98" t="s">
        <v>326</v>
      </c>
      <c r="D98" t="s">
        <v>327</v>
      </c>
      <c r="E98" t="s">
        <v>61</v>
      </c>
      <c r="F98" t="s">
        <v>14</v>
      </c>
      <c r="G98" t="s">
        <v>15</v>
      </c>
      <c r="H98">
        <v>5</v>
      </c>
      <c r="I98">
        <v>118062</v>
      </c>
      <c r="J98">
        <f t="shared" si="1"/>
        <v>590310</v>
      </c>
      <c r="K98" t="s">
        <v>16</v>
      </c>
    </row>
    <row r="99" spans="1:11">
      <c r="A99" t="s">
        <v>328</v>
      </c>
      <c r="B99">
        <v>45798</v>
      </c>
      <c r="C99" t="s">
        <v>329</v>
      </c>
      <c r="D99" t="s">
        <v>330</v>
      </c>
      <c r="E99" t="s">
        <v>20</v>
      </c>
      <c r="F99" t="s">
        <v>14</v>
      </c>
      <c r="G99" t="s">
        <v>21</v>
      </c>
      <c r="H99">
        <v>4</v>
      </c>
      <c r="I99">
        <v>15819</v>
      </c>
      <c r="J99">
        <f t="shared" si="1"/>
        <v>63276</v>
      </c>
      <c r="K99" t="s">
        <v>16</v>
      </c>
    </row>
    <row r="100" spans="1:11">
      <c r="A100" t="s">
        <v>331</v>
      </c>
      <c r="B100">
        <v>45679</v>
      </c>
      <c r="C100" t="s">
        <v>332</v>
      </c>
      <c r="D100" t="s">
        <v>333</v>
      </c>
      <c r="E100" t="s">
        <v>20</v>
      </c>
      <c r="F100" t="s">
        <v>14</v>
      </c>
      <c r="G100" t="s">
        <v>21</v>
      </c>
      <c r="H100">
        <v>1</v>
      </c>
      <c r="I100">
        <v>17994</v>
      </c>
      <c r="J100">
        <f t="shared" si="1"/>
        <v>17994</v>
      </c>
      <c r="K100" t="s">
        <v>33</v>
      </c>
    </row>
    <row r="101" spans="1:11">
      <c r="A101" t="s">
        <v>334</v>
      </c>
      <c r="B101">
        <v>45726</v>
      </c>
      <c r="C101" t="s">
        <v>335</v>
      </c>
      <c r="D101" t="s">
        <v>336</v>
      </c>
      <c r="E101" t="s">
        <v>61</v>
      </c>
      <c r="F101" t="s">
        <v>37</v>
      </c>
      <c r="G101" t="s">
        <v>78</v>
      </c>
      <c r="H101">
        <v>5</v>
      </c>
      <c r="I101">
        <v>23625</v>
      </c>
      <c r="J101">
        <f t="shared" si="1"/>
        <v>118125</v>
      </c>
      <c r="K101" t="s">
        <v>22</v>
      </c>
    </row>
    <row r="102" spans="1:11">
      <c r="A102" t="s">
        <v>337</v>
      </c>
      <c r="B102">
        <v>45647</v>
      </c>
      <c r="C102" t="s">
        <v>338</v>
      </c>
      <c r="D102" t="s">
        <v>339</v>
      </c>
      <c r="E102" t="s">
        <v>13</v>
      </c>
      <c r="F102" t="s">
        <v>45</v>
      </c>
      <c r="G102" t="s">
        <v>131</v>
      </c>
      <c r="H102">
        <v>2</v>
      </c>
      <c r="I102">
        <v>4664</v>
      </c>
      <c r="J102">
        <f t="shared" si="1"/>
        <v>9328</v>
      </c>
      <c r="K102" t="s">
        <v>22</v>
      </c>
    </row>
    <row r="103" spans="1:11">
      <c r="A103" t="s">
        <v>340</v>
      </c>
      <c r="B103">
        <v>45900</v>
      </c>
      <c r="C103" t="s">
        <v>341</v>
      </c>
      <c r="D103" t="s">
        <v>342</v>
      </c>
      <c r="E103" t="s">
        <v>13</v>
      </c>
      <c r="F103" t="s">
        <v>37</v>
      </c>
      <c r="G103" t="s">
        <v>38</v>
      </c>
      <c r="H103">
        <v>5</v>
      </c>
      <c r="I103">
        <v>9598</v>
      </c>
      <c r="J103">
        <f t="shared" si="1"/>
        <v>47990</v>
      </c>
      <c r="K103" t="s">
        <v>33</v>
      </c>
    </row>
    <row r="104" spans="1:11">
      <c r="A104" t="s">
        <v>343</v>
      </c>
      <c r="B104">
        <v>45665</v>
      </c>
      <c r="C104" t="s">
        <v>344</v>
      </c>
      <c r="D104" t="s">
        <v>345</v>
      </c>
      <c r="E104" t="s">
        <v>20</v>
      </c>
      <c r="F104" t="s">
        <v>45</v>
      </c>
      <c r="G104" t="s">
        <v>131</v>
      </c>
      <c r="H104">
        <v>2</v>
      </c>
      <c r="I104">
        <v>3379</v>
      </c>
      <c r="J104">
        <f t="shared" si="1"/>
        <v>6758</v>
      </c>
      <c r="K104" t="s">
        <v>33</v>
      </c>
    </row>
    <row r="105" spans="1:11">
      <c r="A105" t="s">
        <v>346</v>
      </c>
      <c r="B105">
        <v>45679</v>
      </c>
      <c r="C105" t="s">
        <v>347</v>
      </c>
      <c r="D105" t="s">
        <v>348</v>
      </c>
      <c r="E105" t="s">
        <v>20</v>
      </c>
      <c r="F105" t="s">
        <v>45</v>
      </c>
      <c r="G105" t="s">
        <v>144</v>
      </c>
      <c r="H105">
        <v>5</v>
      </c>
      <c r="I105">
        <v>1061</v>
      </c>
      <c r="J105">
        <f t="shared" si="1"/>
        <v>5305</v>
      </c>
      <c r="K105" t="s">
        <v>47</v>
      </c>
    </row>
    <row r="106" spans="1:11">
      <c r="A106" t="s">
        <v>349</v>
      </c>
      <c r="B106">
        <v>45788</v>
      </c>
      <c r="C106" t="s">
        <v>350</v>
      </c>
      <c r="D106" t="s">
        <v>351</v>
      </c>
      <c r="E106" t="s">
        <v>13</v>
      </c>
      <c r="F106" t="s">
        <v>37</v>
      </c>
      <c r="G106" t="s">
        <v>38</v>
      </c>
      <c r="H106">
        <v>4</v>
      </c>
      <c r="I106">
        <v>73497</v>
      </c>
      <c r="J106">
        <f t="shared" si="1"/>
        <v>293988</v>
      </c>
      <c r="K106" t="s">
        <v>33</v>
      </c>
    </row>
    <row r="107" spans="1:11">
      <c r="A107" t="s">
        <v>352</v>
      </c>
      <c r="B107">
        <v>45894</v>
      </c>
      <c r="C107" t="s">
        <v>353</v>
      </c>
      <c r="D107" t="s">
        <v>354</v>
      </c>
      <c r="E107" t="s">
        <v>61</v>
      </c>
      <c r="F107" t="s">
        <v>37</v>
      </c>
      <c r="G107" t="s">
        <v>62</v>
      </c>
      <c r="H107">
        <v>3</v>
      </c>
      <c r="I107">
        <v>43179</v>
      </c>
      <c r="J107">
        <f t="shared" si="1"/>
        <v>129537</v>
      </c>
      <c r="K107" t="s">
        <v>33</v>
      </c>
    </row>
    <row r="108" spans="1:11">
      <c r="A108" t="s">
        <v>355</v>
      </c>
      <c r="B108">
        <v>45613</v>
      </c>
      <c r="C108" t="s">
        <v>356</v>
      </c>
      <c r="D108" t="s">
        <v>357</v>
      </c>
      <c r="E108" t="s">
        <v>13</v>
      </c>
      <c r="F108" t="s">
        <v>45</v>
      </c>
      <c r="G108" t="s">
        <v>131</v>
      </c>
      <c r="H108">
        <v>4</v>
      </c>
      <c r="I108">
        <v>3387</v>
      </c>
      <c r="J108">
        <f t="shared" si="1"/>
        <v>13548</v>
      </c>
      <c r="K108" t="s">
        <v>33</v>
      </c>
    </row>
    <row r="109" spans="1:11">
      <c r="A109" t="s">
        <v>358</v>
      </c>
      <c r="B109">
        <v>45880</v>
      </c>
      <c r="C109" t="s">
        <v>359</v>
      </c>
      <c r="D109" t="s">
        <v>360</v>
      </c>
      <c r="E109" t="s">
        <v>61</v>
      </c>
      <c r="F109" t="s">
        <v>37</v>
      </c>
      <c r="G109" t="s">
        <v>62</v>
      </c>
      <c r="H109">
        <v>3</v>
      </c>
      <c r="I109">
        <v>12220</v>
      </c>
      <c r="J109">
        <f t="shared" si="1"/>
        <v>36660</v>
      </c>
      <c r="K109" t="s">
        <v>22</v>
      </c>
    </row>
    <row r="110" spans="1:11">
      <c r="A110" t="s">
        <v>361</v>
      </c>
      <c r="B110">
        <v>45757</v>
      </c>
      <c r="C110" t="s">
        <v>362</v>
      </c>
      <c r="D110" t="s">
        <v>363</v>
      </c>
      <c r="E110" t="s">
        <v>31</v>
      </c>
      <c r="F110" t="s">
        <v>45</v>
      </c>
      <c r="G110" t="s">
        <v>46</v>
      </c>
      <c r="H110">
        <v>3</v>
      </c>
      <c r="I110">
        <v>3348</v>
      </c>
      <c r="J110">
        <f t="shared" si="1"/>
        <v>10044</v>
      </c>
      <c r="K110" t="s">
        <v>22</v>
      </c>
    </row>
    <row r="111" spans="1:11">
      <c r="A111" t="s">
        <v>364</v>
      </c>
      <c r="B111">
        <v>45804</v>
      </c>
      <c r="C111" t="s">
        <v>365</v>
      </c>
      <c r="D111" t="s">
        <v>366</v>
      </c>
      <c r="E111" t="s">
        <v>13</v>
      </c>
      <c r="F111" t="s">
        <v>14</v>
      </c>
      <c r="G111" t="s">
        <v>32</v>
      </c>
      <c r="H111">
        <v>2</v>
      </c>
      <c r="I111">
        <v>58757</v>
      </c>
      <c r="J111">
        <f t="shared" si="1"/>
        <v>117514</v>
      </c>
      <c r="K111" t="s">
        <v>16</v>
      </c>
    </row>
    <row r="112" spans="1:11">
      <c r="A112" t="s">
        <v>367</v>
      </c>
      <c r="B112">
        <v>45722</v>
      </c>
      <c r="C112" t="s">
        <v>368</v>
      </c>
      <c r="D112" t="s">
        <v>369</v>
      </c>
      <c r="E112" t="s">
        <v>31</v>
      </c>
      <c r="F112" t="s">
        <v>37</v>
      </c>
      <c r="G112" t="s">
        <v>95</v>
      </c>
      <c r="H112">
        <v>4</v>
      </c>
      <c r="I112">
        <v>32247</v>
      </c>
      <c r="J112">
        <f t="shared" si="1"/>
        <v>128988</v>
      </c>
      <c r="K112" t="s">
        <v>16</v>
      </c>
    </row>
    <row r="113" spans="1:11">
      <c r="A113" t="s">
        <v>370</v>
      </c>
      <c r="B113">
        <v>45901</v>
      </c>
      <c r="C113" t="s">
        <v>371</v>
      </c>
      <c r="D113" t="s">
        <v>372</v>
      </c>
      <c r="E113" t="s">
        <v>31</v>
      </c>
      <c r="F113" t="s">
        <v>37</v>
      </c>
      <c r="G113" t="s">
        <v>62</v>
      </c>
      <c r="H113">
        <v>2</v>
      </c>
      <c r="I113">
        <v>65205</v>
      </c>
      <c r="J113">
        <f t="shared" si="1"/>
        <v>130410</v>
      </c>
      <c r="K113" t="s">
        <v>47</v>
      </c>
    </row>
    <row r="114" spans="1:11">
      <c r="A114" t="s">
        <v>373</v>
      </c>
      <c r="B114">
        <v>45782</v>
      </c>
      <c r="C114" t="s">
        <v>374</v>
      </c>
      <c r="D114" t="s">
        <v>375</v>
      </c>
      <c r="E114" t="s">
        <v>20</v>
      </c>
      <c r="F114" t="s">
        <v>26</v>
      </c>
      <c r="G114" t="s">
        <v>27</v>
      </c>
      <c r="H114">
        <v>2</v>
      </c>
      <c r="I114">
        <v>24033</v>
      </c>
      <c r="J114">
        <f t="shared" si="1"/>
        <v>48066</v>
      </c>
      <c r="K114" t="s">
        <v>47</v>
      </c>
    </row>
    <row r="115" spans="1:11">
      <c r="A115" t="s">
        <v>376</v>
      </c>
      <c r="B115">
        <v>45881</v>
      </c>
      <c r="C115" t="s">
        <v>377</v>
      </c>
      <c r="D115" t="s">
        <v>378</v>
      </c>
      <c r="E115" t="s">
        <v>13</v>
      </c>
      <c r="F115" t="s">
        <v>45</v>
      </c>
      <c r="G115" t="s">
        <v>144</v>
      </c>
      <c r="H115">
        <v>2</v>
      </c>
      <c r="I115">
        <v>2180</v>
      </c>
      <c r="J115">
        <f t="shared" si="1"/>
        <v>4360</v>
      </c>
      <c r="K115" t="s">
        <v>47</v>
      </c>
    </row>
    <row r="116" spans="1:11">
      <c r="A116" t="s">
        <v>379</v>
      </c>
      <c r="B116">
        <v>45585</v>
      </c>
      <c r="C116" t="s">
        <v>380</v>
      </c>
      <c r="D116" t="s">
        <v>381</v>
      </c>
      <c r="E116" t="s">
        <v>20</v>
      </c>
      <c r="F116" t="s">
        <v>26</v>
      </c>
      <c r="G116" t="s">
        <v>27</v>
      </c>
      <c r="H116">
        <v>2</v>
      </c>
      <c r="I116">
        <v>11617</v>
      </c>
      <c r="J116">
        <f t="shared" si="1"/>
        <v>23234</v>
      </c>
      <c r="K116" t="s">
        <v>47</v>
      </c>
    </row>
    <row r="117" spans="1:11">
      <c r="A117" t="s">
        <v>382</v>
      </c>
      <c r="B117">
        <v>45892</v>
      </c>
      <c r="C117" t="s">
        <v>383</v>
      </c>
      <c r="D117" t="s">
        <v>384</v>
      </c>
      <c r="E117" t="s">
        <v>31</v>
      </c>
      <c r="F117" t="s">
        <v>26</v>
      </c>
      <c r="G117" t="s">
        <v>124</v>
      </c>
      <c r="H117">
        <v>5</v>
      </c>
      <c r="I117">
        <v>55781</v>
      </c>
      <c r="J117">
        <f t="shared" si="1"/>
        <v>278905</v>
      </c>
      <c r="K117" t="s">
        <v>22</v>
      </c>
    </row>
    <row r="118" spans="1:11">
      <c r="A118" t="s">
        <v>385</v>
      </c>
      <c r="B118">
        <v>45813</v>
      </c>
      <c r="C118" t="s">
        <v>386</v>
      </c>
      <c r="D118" t="s">
        <v>387</v>
      </c>
      <c r="E118" t="s">
        <v>61</v>
      </c>
      <c r="F118" t="s">
        <v>14</v>
      </c>
      <c r="G118" t="s">
        <v>21</v>
      </c>
      <c r="H118">
        <v>3</v>
      </c>
      <c r="I118">
        <v>103218</v>
      </c>
      <c r="J118">
        <f t="shared" si="1"/>
        <v>309654</v>
      </c>
      <c r="K118" t="s">
        <v>16</v>
      </c>
    </row>
    <row r="119" spans="1:11">
      <c r="A119" t="s">
        <v>388</v>
      </c>
      <c r="B119">
        <v>45777</v>
      </c>
      <c r="C119" t="s">
        <v>389</v>
      </c>
      <c r="D119" t="s">
        <v>390</v>
      </c>
      <c r="E119" t="s">
        <v>13</v>
      </c>
      <c r="F119" t="s">
        <v>45</v>
      </c>
      <c r="G119" t="s">
        <v>51</v>
      </c>
      <c r="H119">
        <v>4</v>
      </c>
      <c r="I119">
        <v>3019</v>
      </c>
      <c r="J119">
        <f t="shared" si="1"/>
        <v>12076</v>
      </c>
      <c r="K119" t="s">
        <v>33</v>
      </c>
    </row>
    <row r="120" spans="1:11">
      <c r="A120" t="s">
        <v>391</v>
      </c>
      <c r="B120">
        <v>45743</v>
      </c>
      <c r="C120" t="s">
        <v>392</v>
      </c>
      <c r="D120" t="s">
        <v>393</v>
      </c>
      <c r="E120" t="s">
        <v>61</v>
      </c>
      <c r="F120" t="s">
        <v>14</v>
      </c>
      <c r="G120" t="s">
        <v>15</v>
      </c>
      <c r="H120">
        <v>5</v>
      </c>
      <c r="I120">
        <v>10240</v>
      </c>
      <c r="J120">
        <f t="shared" si="1"/>
        <v>51200</v>
      </c>
      <c r="K120" t="s">
        <v>22</v>
      </c>
    </row>
    <row r="121" spans="1:11">
      <c r="A121" t="s">
        <v>394</v>
      </c>
      <c r="B121">
        <v>45914</v>
      </c>
      <c r="C121" t="s">
        <v>395</v>
      </c>
      <c r="D121" t="s">
        <v>396</v>
      </c>
      <c r="E121" t="s">
        <v>13</v>
      </c>
      <c r="F121" t="s">
        <v>37</v>
      </c>
      <c r="G121" t="s">
        <v>38</v>
      </c>
      <c r="H121">
        <v>1</v>
      </c>
      <c r="I121">
        <v>55229</v>
      </c>
      <c r="J121">
        <f t="shared" si="1"/>
        <v>55229</v>
      </c>
      <c r="K121" t="s">
        <v>22</v>
      </c>
    </row>
    <row r="122" spans="1:11">
      <c r="A122" t="s">
        <v>397</v>
      </c>
      <c r="B122">
        <v>45813</v>
      </c>
      <c r="C122" t="s">
        <v>398</v>
      </c>
      <c r="D122" t="s">
        <v>399</v>
      </c>
      <c r="E122" t="s">
        <v>20</v>
      </c>
      <c r="F122" t="s">
        <v>37</v>
      </c>
      <c r="G122" t="s">
        <v>38</v>
      </c>
      <c r="H122">
        <v>5</v>
      </c>
      <c r="I122">
        <v>42886</v>
      </c>
      <c r="J122">
        <f t="shared" si="1"/>
        <v>214430</v>
      </c>
      <c r="K122" t="s">
        <v>47</v>
      </c>
    </row>
    <row r="123" spans="1:11">
      <c r="A123" t="s">
        <v>400</v>
      </c>
      <c r="B123">
        <v>45653</v>
      </c>
      <c r="C123" t="s">
        <v>401</v>
      </c>
      <c r="D123" t="s">
        <v>402</v>
      </c>
      <c r="E123" t="s">
        <v>61</v>
      </c>
      <c r="F123" t="s">
        <v>45</v>
      </c>
      <c r="G123" t="s">
        <v>131</v>
      </c>
      <c r="H123">
        <v>3</v>
      </c>
      <c r="I123">
        <v>513</v>
      </c>
      <c r="J123">
        <f t="shared" si="1"/>
        <v>1539</v>
      </c>
      <c r="K123" t="s">
        <v>33</v>
      </c>
    </row>
    <row r="124" spans="1:11">
      <c r="A124" t="s">
        <v>403</v>
      </c>
      <c r="B124">
        <v>45916</v>
      </c>
      <c r="C124" t="s">
        <v>404</v>
      </c>
      <c r="D124" t="s">
        <v>405</v>
      </c>
      <c r="E124" t="s">
        <v>13</v>
      </c>
      <c r="F124" t="s">
        <v>37</v>
      </c>
      <c r="G124" t="s">
        <v>95</v>
      </c>
      <c r="H124">
        <v>5</v>
      </c>
      <c r="I124">
        <v>83511</v>
      </c>
      <c r="J124">
        <f t="shared" si="1"/>
        <v>417555</v>
      </c>
      <c r="K124" t="s">
        <v>33</v>
      </c>
    </row>
    <row r="125" spans="1:11">
      <c r="A125" t="s">
        <v>406</v>
      </c>
      <c r="B125">
        <v>45684</v>
      </c>
      <c r="C125" t="s">
        <v>407</v>
      </c>
      <c r="D125" t="s">
        <v>408</v>
      </c>
      <c r="E125" t="s">
        <v>20</v>
      </c>
      <c r="F125" t="s">
        <v>37</v>
      </c>
      <c r="G125" t="s">
        <v>62</v>
      </c>
      <c r="H125">
        <v>5</v>
      </c>
      <c r="I125">
        <v>36394</v>
      </c>
      <c r="J125">
        <f t="shared" si="1"/>
        <v>181970</v>
      </c>
      <c r="K125" t="s">
        <v>16</v>
      </c>
    </row>
    <row r="126" spans="1:11">
      <c r="A126" t="s">
        <v>409</v>
      </c>
      <c r="B126">
        <v>45586</v>
      </c>
      <c r="C126" t="s">
        <v>410</v>
      </c>
      <c r="D126" t="s">
        <v>411</v>
      </c>
      <c r="E126" t="s">
        <v>20</v>
      </c>
      <c r="F126" t="s">
        <v>26</v>
      </c>
      <c r="G126" t="s">
        <v>85</v>
      </c>
      <c r="H126">
        <v>1</v>
      </c>
      <c r="I126">
        <v>52583</v>
      </c>
      <c r="J126">
        <f t="shared" si="1"/>
        <v>52583</v>
      </c>
      <c r="K126" t="s">
        <v>47</v>
      </c>
    </row>
    <row r="127" spans="1:11">
      <c r="A127" t="s">
        <v>412</v>
      </c>
      <c r="B127">
        <v>45758</v>
      </c>
      <c r="C127" t="s">
        <v>413</v>
      </c>
      <c r="D127" t="s">
        <v>414</v>
      </c>
      <c r="E127" t="s">
        <v>31</v>
      </c>
      <c r="F127" t="s">
        <v>37</v>
      </c>
      <c r="G127" t="s">
        <v>62</v>
      </c>
      <c r="H127">
        <v>4</v>
      </c>
      <c r="I127">
        <v>63127</v>
      </c>
      <c r="J127">
        <f t="shared" si="1"/>
        <v>252508</v>
      </c>
      <c r="K127" t="s">
        <v>47</v>
      </c>
    </row>
    <row r="128" spans="1:11">
      <c r="A128" t="s">
        <v>415</v>
      </c>
      <c r="B128">
        <v>45768</v>
      </c>
      <c r="C128" t="s">
        <v>416</v>
      </c>
      <c r="D128" t="s">
        <v>417</v>
      </c>
      <c r="E128" t="s">
        <v>61</v>
      </c>
      <c r="F128" t="s">
        <v>45</v>
      </c>
      <c r="G128" t="s">
        <v>46</v>
      </c>
      <c r="H128">
        <v>5</v>
      </c>
      <c r="I128">
        <v>3899</v>
      </c>
      <c r="J128">
        <f t="shared" si="1"/>
        <v>19495</v>
      </c>
      <c r="K128" t="s">
        <v>33</v>
      </c>
    </row>
    <row r="129" spans="1:11">
      <c r="A129" t="s">
        <v>418</v>
      </c>
      <c r="B129">
        <v>45819</v>
      </c>
      <c r="C129" t="s">
        <v>419</v>
      </c>
      <c r="D129" t="s">
        <v>420</v>
      </c>
      <c r="E129" t="s">
        <v>20</v>
      </c>
      <c r="F129" t="s">
        <v>26</v>
      </c>
      <c r="G129" t="s">
        <v>85</v>
      </c>
      <c r="H129">
        <v>2</v>
      </c>
      <c r="I129">
        <v>48498</v>
      </c>
      <c r="J129">
        <f t="shared" si="1"/>
        <v>96996</v>
      </c>
      <c r="K129" t="s">
        <v>47</v>
      </c>
    </row>
    <row r="130" spans="1:11">
      <c r="A130" t="s">
        <v>421</v>
      </c>
      <c r="B130">
        <v>45786</v>
      </c>
      <c r="C130" t="s">
        <v>422</v>
      </c>
      <c r="D130" t="s">
        <v>423</v>
      </c>
      <c r="E130" t="s">
        <v>61</v>
      </c>
      <c r="F130" t="s">
        <v>26</v>
      </c>
      <c r="G130" t="s">
        <v>27</v>
      </c>
      <c r="H130">
        <v>1</v>
      </c>
      <c r="I130">
        <v>71332</v>
      </c>
      <c r="J130">
        <f t="shared" ref="J130:J193" si="2">(H130*I130)</f>
        <v>71332</v>
      </c>
      <c r="K130" t="s">
        <v>33</v>
      </c>
    </row>
    <row r="131" spans="1:11">
      <c r="A131" t="s">
        <v>424</v>
      </c>
      <c r="B131">
        <v>45857</v>
      </c>
      <c r="C131" t="s">
        <v>425</v>
      </c>
      <c r="D131" t="s">
        <v>426</v>
      </c>
      <c r="E131" t="s">
        <v>20</v>
      </c>
      <c r="F131" t="s">
        <v>26</v>
      </c>
      <c r="G131" t="s">
        <v>27</v>
      </c>
      <c r="H131">
        <v>3</v>
      </c>
      <c r="I131">
        <v>51005</v>
      </c>
      <c r="J131">
        <f t="shared" si="2"/>
        <v>153015</v>
      </c>
      <c r="K131" t="s">
        <v>33</v>
      </c>
    </row>
    <row r="132" spans="1:11">
      <c r="A132" t="s">
        <v>427</v>
      </c>
      <c r="B132">
        <v>45564</v>
      </c>
      <c r="C132" t="s">
        <v>428</v>
      </c>
      <c r="D132" t="s">
        <v>429</v>
      </c>
      <c r="E132" t="s">
        <v>31</v>
      </c>
      <c r="F132" t="s">
        <v>26</v>
      </c>
      <c r="G132" t="s">
        <v>124</v>
      </c>
      <c r="H132">
        <v>3</v>
      </c>
      <c r="I132">
        <v>52362</v>
      </c>
      <c r="J132">
        <f t="shared" si="2"/>
        <v>157086</v>
      </c>
      <c r="K132" t="s">
        <v>33</v>
      </c>
    </row>
    <row r="133" spans="1:11">
      <c r="A133" t="s">
        <v>430</v>
      </c>
      <c r="B133">
        <v>45772</v>
      </c>
      <c r="C133" t="s">
        <v>431</v>
      </c>
      <c r="D133" t="s">
        <v>432</v>
      </c>
      <c r="E133" t="s">
        <v>13</v>
      </c>
      <c r="F133" t="s">
        <v>26</v>
      </c>
      <c r="G133" t="s">
        <v>124</v>
      </c>
      <c r="H133">
        <v>5</v>
      </c>
      <c r="I133">
        <v>54827</v>
      </c>
      <c r="J133">
        <f t="shared" si="2"/>
        <v>274135</v>
      </c>
      <c r="K133" t="s">
        <v>47</v>
      </c>
    </row>
    <row r="134" spans="1:11">
      <c r="A134" t="s">
        <v>433</v>
      </c>
      <c r="B134">
        <v>45617</v>
      </c>
      <c r="C134" t="s">
        <v>434</v>
      </c>
      <c r="D134" t="s">
        <v>435</v>
      </c>
      <c r="E134" t="s">
        <v>13</v>
      </c>
      <c r="F134" t="s">
        <v>45</v>
      </c>
      <c r="G134" t="s">
        <v>51</v>
      </c>
      <c r="H134">
        <v>2</v>
      </c>
      <c r="I134">
        <v>2688</v>
      </c>
      <c r="J134">
        <f t="shared" si="2"/>
        <v>5376</v>
      </c>
      <c r="K134" t="s">
        <v>16</v>
      </c>
    </row>
    <row r="135" spans="1:11">
      <c r="A135" t="s">
        <v>436</v>
      </c>
      <c r="B135">
        <v>45611</v>
      </c>
      <c r="C135" t="s">
        <v>437</v>
      </c>
      <c r="D135" t="s">
        <v>438</v>
      </c>
      <c r="E135" t="s">
        <v>31</v>
      </c>
      <c r="F135" t="s">
        <v>14</v>
      </c>
      <c r="G135" t="s">
        <v>21</v>
      </c>
      <c r="H135">
        <v>3</v>
      </c>
      <c r="I135">
        <v>123502</v>
      </c>
      <c r="J135">
        <f t="shared" si="2"/>
        <v>370506</v>
      </c>
      <c r="K135" t="s">
        <v>22</v>
      </c>
    </row>
    <row r="136" spans="1:11">
      <c r="A136" t="s">
        <v>439</v>
      </c>
      <c r="B136">
        <v>45654</v>
      </c>
      <c r="C136" t="s">
        <v>440</v>
      </c>
      <c r="D136" t="s">
        <v>441</v>
      </c>
      <c r="E136" t="s">
        <v>31</v>
      </c>
      <c r="F136" t="s">
        <v>37</v>
      </c>
      <c r="G136" t="s">
        <v>62</v>
      </c>
      <c r="H136">
        <v>2</v>
      </c>
      <c r="I136">
        <v>20665</v>
      </c>
      <c r="J136">
        <f t="shared" si="2"/>
        <v>41330</v>
      </c>
      <c r="K136" t="s">
        <v>16</v>
      </c>
    </row>
    <row r="137" spans="1:11">
      <c r="A137" t="s">
        <v>442</v>
      </c>
      <c r="B137">
        <v>45560</v>
      </c>
      <c r="C137" t="s">
        <v>443</v>
      </c>
      <c r="D137" t="s">
        <v>444</v>
      </c>
      <c r="E137" t="s">
        <v>31</v>
      </c>
      <c r="F137" t="s">
        <v>14</v>
      </c>
      <c r="G137" t="s">
        <v>21</v>
      </c>
      <c r="H137">
        <v>4</v>
      </c>
      <c r="I137">
        <v>43636</v>
      </c>
      <c r="J137">
        <f t="shared" si="2"/>
        <v>174544</v>
      </c>
      <c r="K137" t="s">
        <v>16</v>
      </c>
    </row>
    <row r="138" spans="1:11">
      <c r="A138" t="s">
        <v>445</v>
      </c>
      <c r="B138">
        <v>45817</v>
      </c>
      <c r="C138" t="s">
        <v>446</v>
      </c>
      <c r="D138" t="s">
        <v>447</v>
      </c>
      <c r="E138" t="s">
        <v>61</v>
      </c>
      <c r="F138" t="s">
        <v>45</v>
      </c>
      <c r="G138" t="s">
        <v>144</v>
      </c>
      <c r="H138">
        <v>1</v>
      </c>
      <c r="I138">
        <v>3837</v>
      </c>
      <c r="J138">
        <f t="shared" si="2"/>
        <v>3837</v>
      </c>
      <c r="K138" t="s">
        <v>16</v>
      </c>
    </row>
    <row r="139" spans="1:11">
      <c r="A139" t="s">
        <v>448</v>
      </c>
      <c r="B139">
        <v>45566</v>
      </c>
      <c r="C139" t="s">
        <v>449</v>
      </c>
      <c r="D139" t="s">
        <v>450</v>
      </c>
      <c r="E139" t="s">
        <v>20</v>
      </c>
      <c r="F139" t="s">
        <v>26</v>
      </c>
      <c r="G139" t="s">
        <v>124</v>
      </c>
      <c r="H139">
        <v>1</v>
      </c>
      <c r="I139">
        <v>16680</v>
      </c>
      <c r="J139">
        <f t="shared" si="2"/>
        <v>16680</v>
      </c>
      <c r="K139" t="s">
        <v>22</v>
      </c>
    </row>
    <row r="140" spans="1:11">
      <c r="A140" t="s">
        <v>451</v>
      </c>
      <c r="B140">
        <v>45780</v>
      </c>
      <c r="C140" t="s">
        <v>452</v>
      </c>
      <c r="D140" t="s">
        <v>453</v>
      </c>
      <c r="E140" t="s">
        <v>20</v>
      </c>
      <c r="F140" t="s">
        <v>45</v>
      </c>
      <c r="G140" t="s">
        <v>51</v>
      </c>
      <c r="H140">
        <v>5</v>
      </c>
      <c r="I140">
        <v>2554</v>
      </c>
      <c r="J140">
        <f t="shared" si="2"/>
        <v>12770</v>
      </c>
      <c r="K140" t="s">
        <v>22</v>
      </c>
    </row>
    <row r="141" spans="1:11">
      <c r="A141" t="s">
        <v>454</v>
      </c>
      <c r="B141">
        <v>45607</v>
      </c>
      <c r="C141" t="s">
        <v>455</v>
      </c>
      <c r="D141" t="s">
        <v>456</v>
      </c>
      <c r="E141" t="s">
        <v>13</v>
      </c>
      <c r="F141" t="s">
        <v>37</v>
      </c>
      <c r="G141" t="s">
        <v>95</v>
      </c>
      <c r="H141">
        <v>5</v>
      </c>
      <c r="I141">
        <v>72445</v>
      </c>
      <c r="J141">
        <f t="shared" si="2"/>
        <v>362225</v>
      </c>
      <c r="K141" t="s">
        <v>16</v>
      </c>
    </row>
    <row r="142" spans="1:11">
      <c r="A142" t="s">
        <v>457</v>
      </c>
      <c r="B142">
        <v>45751</v>
      </c>
      <c r="C142" t="s">
        <v>458</v>
      </c>
      <c r="D142" t="s">
        <v>459</v>
      </c>
      <c r="E142" t="s">
        <v>61</v>
      </c>
      <c r="F142" t="s">
        <v>37</v>
      </c>
      <c r="G142" t="s">
        <v>38</v>
      </c>
      <c r="H142">
        <v>5</v>
      </c>
      <c r="I142">
        <v>25914</v>
      </c>
      <c r="J142">
        <f t="shared" si="2"/>
        <v>129570</v>
      </c>
      <c r="K142" t="s">
        <v>33</v>
      </c>
    </row>
    <row r="143" spans="1:11">
      <c r="A143" t="s">
        <v>460</v>
      </c>
      <c r="B143">
        <v>45816</v>
      </c>
      <c r="C143" t="s">
        <v>461</v>
      </c>
      <c r="D143" t="s">
        <v>462</v>
      </c>
      <c r="E143" t="s">
        <v>13</v>
      </c>
      <c r="F143" t="s">
        <v>14</v>
      </c>
      <c r="G143" t="s">
        <v>15</v>
      </c>
      <c r="H143">
        <v>1</v>
      </c>
      <c r="I143">
        <v>133269</v>
      </c>
      <c r="J143">
        <f t="shared" si="2"/>
        <v>133269</v>
      </c>
      <c r="K143" t="s">
        <v>47</v>
      </c>
    </row>
    <row r="144" spans="1:11">
      <c r="A144" t="s">
        <v>463</v>
      </c>
      <c r="B144">
        <v>45787</v>
      </c>
      <c r="C144" t="s">
        <v>464</v>
      </c>
      <c r="D144" t="s">
        <v>465</v>
      </c>
      <c r="E144" t="s">
        <v>13</v>
      </c>
      <c r="F144" t="s">
        <v>37</v>
      </c>
      <c r="G144" t="s">
        <v>78</v>
      </c>
      <c r="H144">
        <v>5</v>
      </c>
      <c r="I144">
        <v>66123</v>
      </c>
      <c r="J144">
        <f t="shared" si="2"/>
        <v>330615</v>
      </c>
      <c r="K144" t="s">
        <v>47</v>
      </c>
    </row>
    <row r="145" spans="1:11">
      <c r="A145" t="s">
        <v>466</v>
      </c>
      <c r="B145">
        <v>45857</v>
      </c>
      <c r="C145" t="s">
        <v>467</v>
      </c>
      <c r="D145" t="s">
        <v>468</v>
      </c>
      <c r="E145" t="s">
        <v>13</v>
      </c>
      <c r="F145" t="s">
        <v>45</v>
      </c>
      <c r="G145" t="s">
        <v>46</v>
      </c>
      <c r="H145">
        <v>1</v>
      </c>
      <c r="I145">
        <v>3417</v>
      </c>
      <c r="J145">
        <f t="shared" si="2"/>
        <v>3417</v>
      </c>
      <c r="K145" t="s">
        <v>22</v>
      </c>
    </row>
    <row r="146" spans="1:11">
      <c r="A146" t="s">
        <v>469</v>
      </c>
      <c r="B146">
        <v>45577</v>
      </c>
      <c r="C146" t="s">
        <v>470</v>
      </c>
      <c r="D146" t="s">
        <v>471</v>
      </c>
      <c r="E146" t="s">
        <v>61</v>
      </c>
      <c r="F146" t="s">
        <v>45</v>
      </c>
      <c r="G146" t="s">
        <v>144</v>
      </c>
      <c r="H146">
        <v>1</v>
      </c>
      <c r="I146">
        <v>1167</v>
      </c>
      <c r="J146">
        <f t="shared" si="2"/>
        <v>1167</v>
      </c>
      <c r="K146" t="s">
        <v>22</v>
      </c>
    </row>
    <row r="147" spans="1:11">
      <c r="A147" t="s">
        <v>472</v>
      </c>
      <c r="B147">
        <v>45680</v>
      </c>
      <c r="C147" t="s">
        <v>473</v>
      </c>
      <c r="D147" t="s">
        <v>474</v>
      </c>
      <c r="E147" t="s">
        <v>13</v>
      </c>
      <c r="F147" t="s">
        <v>14</v>
      </c>
      <c r="G147" t="s">
        <v>108</v>
      </c>
      <c r="H147">
        <v>2</v>
      </c>
      <c r="I147">
        <v>26898</v>
      </c>
      <c r="J147">
        <f t="shared" si="2"/>
        <v>53796</v>
      </c>
      <c r="K147" t="s">
        <v>33</v>
      </c>
    </row>
    <row r="148" spans="1:11">
      <c r="A148" t="s">
        <v>475</v>
      </c>
      <c r="B148">
        <v>45780</v>
      </c>
      <c r="C148" t="s">
        <v>476</v>
      </c>
      <c r="D148" t="s">
        <v>477</v>
      </c>
      <c r="E148" t="s">
        <v>13</v>
      </c>
      <c r="F148" t="s">
        <v>14</v>
      </c>
      <c r="G148" t="s">
        <v>21</v>
      </c>
      <c r="H148">
        <v>5</v>
      </c>
      <c r="I148">
        <v>18709</v>
      </c>
      <c r="J148">
        <f t="shared" si="2"/>
        <v>93545</v>
      </c>
      <c r="K148" t="s">
        <v>16</v>
      </c>
    </row>
    <row r="149" spans="1:11">
      <c r="A149" t="s">
        <v>478</v>
      </c>
      <c r="B149">
        <v>45601</v>
      </c>
      <c r="C149" t="s">
        <v>479</v>
      </c>
      <c r="D149" t="s">
        <v>480</v>
      </c>
      <c r="E149" t="s">
        <v>20</v>
      </c>
      <c r="F149" t="s">
        <v>14</v>
      </c>
      <c r="G149" t="s">
        <v>108</v>
      </c>
      <c r="H149">
        <v>2</v>
      </c>
      <c r="I149">
        <v>145956</v>
      </c>
      <c r="J149">
        <f t="shared" si="2"/>
        <v>291912</v>
      </c>
      <c r="K149" t="s">
        <v>47</v>
      </c>
    </row>
    <row r="150" spans="1:11">
      <c r="A150" t="s">
        <v>481</v>
      </c>
      <c r="B150">
        <v>45768</v>
      </c>
      <c r="C150" t="s">
        <v>482</v>
      </c>
      <c r="D150" t="s">
        <v>483</v>
      </c>
      <c r="E150" t="s">
        <v>13</v>
      </c>
      <c r="F150" t="s">
        <v>14</v>
      </c>
      <c r="G150" t="s">
        <v>32</v>
      </c>
      <c r="H150">
        <v>2</v>
      </c>
      <c r="I150">
        <v>119981</v>
      </c>
      <c r="J150">
        <f t="shared" si="2"/>
        <v>239962</v>
      </c>
      <c r="K150" t="s">
        <v>33</v>
      </c>
    </row>
    <row r="151" spans="1:11">
      <c r="A151" t="s">
        <v>484</v>
      </c>
      <c r="B151">
        <v>45875</v>
      </c>
      <c r="C151" t="s">
        <v>485</v>
      </c>
      <c r="D151" t="s">
        <v>486</v>
      </c>
      <c r="E151" t="s">
        <v>20</v>
      </c>
      <c r="F151" t="s">
        <v>45</v>
      </c>
      <c r="G151" t="s">
        <v>144</v>
      </c>
      <c r="H151">
        <v>1</v>
      </c>
      <c r="I151">
        <v>2992</v>
      </c>
      <c r="J151">
        <f t="shared" si="2"/>
        <v>2992</v>
      </c>
      <c r="K151" t="s">
        <v>33</v>
      </c>
    </row>
    <row r="152" spans="1:11">
      <c r="A152" t="s">
        <v>487</v>
      </c>
      <c r="B152">
        <v>45803</v>
      </c>
      <c r="C152" t="s">
        <v>488</v>
      </c>
      <c r="D152" t="s">
        <v>489</v>
      </c>
      <c r="E152" t="s">
        <v>61</v>
      </c>
      <c r="F152" t="s">
        <v>37</v>
      </c>
      <c r="G152" t="s">
        <v>62</v>
      </c>
      <c r="H152">
        <v>4</v>
      </c>
      <c r="I152">
        <v>61301</v>
      </c>
      <c r="J152">
        <f t="shared" si="2"/>
        <v>245204</v>
      </c>
      <c r="K152" t="s">
        <v>33</v>
      </c>
    </row>
    <row r="153" spans="1:11">
      <c r="A153" t="s">
        <v>490</v>
      </c>
      <c r="B153">
        <v>45680</v>
      </c>
      <c r="C153" t="s">
        <v>491</v>
      </c>
      <c r="D153" t="s">
        <v>492</v>
      </c>
      <c r="E153" t="s">
        <v>61</v>
      </c>
      <c r="F153" t="s">
        <v>14</v>
      </c>
      <c r="G153" t="s">
        <v>15</v>
      </c>
      <c r="H153">
        <v>4</v>
      </c>
      <c r="I153">
        <v>143673</v>
      </c>
      <c r="J153">
        <f t="shared" si="2"/>
        <v>574692</v>
      </c>
      <c r="K153" t="s">
        <v>33</v>
      </c>
    </row>
    <row r="154" spans="1:11">
      <c r="A154" t="s">
        <v>493</v>
      </c>
      <c r="B154">
        <v>45657</v>
      </c>
      <c r="C154" t="s">
        <v>494</v>
      </c>
      <c r="D154" t="s">
        <v>495</v>
      </c>
      <c r="E154" t="s">
        <v>61</v>
      </c>
      <c r="F154" t="s">
        <v>14</v>
      </c>
      <c r="G154" t="s">
        <v>32</v>
      </c>
      <c r="H154">
        <v>1</v>
      </c>
      <c r="I154">
        <v>47226</v>
      </c>
      <c r="J154">
        <f t="shared" si="2"/>
        <v>47226</v>
      </c>
      <c r="K154" t="s">
        <v>22</v>
      </c>
    </row>
    <row r="155" spans="1:11">
      <c r="A155" t="s">
        <v>496</v>
      </c>
      <c r="B155">
        <v>45694</v>
      </c>
      <c r="C155" t="s">
        <v>497</v>
      </c>
      <c r="D155" t="s">
        <v>498</v>
      </c>
      <c r="E155" t="s">
        <v>20</v>
      </c>
      <c r="F155" t="s">
        <v>26</v>
      </c>
      <c r="G155" t="s">
        <v>27</v>
      </c>
      <c r="H155">
        <v>4</v>
      </c>
      <c r="I155">
        <v>43254</v>
      </c>
      <c r="J155">
        <f t="shared" si="2"/>
        <v>173016</v>
      </c>
      <c r="K155" t="s">
        <v>33</v>
      </c>
    </row>
    <row r="156" spans="1:11">
      <c r="A156" t="s">
        <v>499</v>
      </c>
      <c r="B156">
        <v>45561</v>
      </c>
      <c r="C156" t="s">
        <v>500</v>
      </c>
      <c r="D156" t="s">
        <v>501</v>
      </c>
      <c r="E156" t="s">
        <v>31</v>
      </c>
      <c r="F156" t="s">
        <v>45</v>
      </c>
      <c r="G156" t="s">
        <v>46</v>
      </c>
      <c r="H156">
        <v>1</v>
      </c>
      <c r="I156">
        <v>3621</v>
      </c>
      <c r="J156">
        <f t="shared" si="2"/>
        <v>3621</v>
      </c>
      <c r="K156" t="s">
        <v>47</v>
      </c>
    </row>
    <row r="157" spans="1:11">
      <c r="A157" t="s">
        <v>502</v>
      </c>
      <c r="B157">
        <v>45682</v>
      </c>
      <c r="C157" t="s">
        <v>503</v>
      </c>
      <c r="D157" t="s">
        <v>504</v>
      </c>
      <c r="E157" t="s">
        <v>61</v>
      </c>
      <c r="F157" t="s">
        <v>14</v>
      </c>
      <c r="G157" t="s">
        <v>108</v>
      </c>
      <c r="H157">
        <v>2</v>
      </c>
      <c r="I157">
        <v>69152</v>
      </c>
      <c r="J157">
        <f t="shared" si="2"/>
        <v>138304</v>
      </c>
      <c r="K157" t="s">
        <v>33</v>
      </c>
    </row>
    <row r="158" spans="1:11">
      <c r="A158" t="s">
        <v>505</v>
      </c>
      <c r="B158">
        <v>45832</v>
      </c>
      <c r="C158" t="s">
        <v>506</v>
      </c>
      <c r="D158" t="s">
        <v>507</v>
      </c>
      <c r="E158" t="s">
        <v>31</v>
      </c>
      <c r="F158" t="s">
        <v>26</v>
      </c>
      <c r="G158" t="s">
        <v>124</v>
      </c>
      <c r="H158">
        <v>3</v>
      </c>
      <c r="I158">
        <v>18314</v>
      </c>
      <c r="J158">
        <f t="shared" si="2"/>
        <v>54942</v>
      </c>
      <c r="K158" t="s">
        <v>33</v>
      </c>
    </row>
    <row r="159" spans="1:11">
      <c r="A159" t="s">
        <v>508</v>
      </c>
      <c r="B159">
        <v>45607</v>
      </c>
      <c r="C159" t="s">
        <v>509</v>
      </c>
      <c r="D159" t="s">
        <v>510</v>
      </c>
      <c r="E159" t="s">
        <v>61</v>
      </c>
      <c r="F159" t="s">
        <v>45</v>
      </c>
      <c r="G159" t="s">
        <v>131</v>
      </c>
      <c r="H159">
        <v>1</v>
      </c>
      <c r="I159">
        <v>4364</v>
      </c>
      <c r="J159">
        <f t="shared" si="2"/>
        <v>4364</v>
      </c>
      <c r="K159" t="s">
        <v>33</v>
      </c>
    </row>
    <row r="160" spans="1:11">
      <c r="A160" t="s">
        <v>511</v>
      </c>
      <c r="B160">
        <v>45856</v>
      </c>
      <c r="C160" t="s">
        <v>512</v>
      </c>
      <c r="D160" t="s">
        <v>513</v>
      </c>
      <c r="E160" t="s">
        <v>20</v>
      </c>
      <c r="F160" t="s">
        <v>45</v>
      </c>
      <c r="G160" t="s">
        <v>46</v>
      </c>
      <c r="H160">
        <v>3</v>
      </c>
      <c r="I160">
        <v>2103</v>
      </c>
      <c r="J160">
        <f t="shared" si="2"/>
        <v>6309</v>
      </c>
      <c r="K160" t="s">
        <v>22</v>
      </c>
    </row>
    <row r="161" spans="1:11">
      <c r="A161" t="s">
        <v>514</v>
      </c>
      <c r="B161">
        <v>45848</v>
      </c>
      <c r="C161" t="s">
        <v>515</v>
      </c>
      <c r="D161" t="s">
        <v>516</v>
      </c>
      <c r="E161" t="s">
        <v>13</v>
      </c>
      <c r="F161" t="s">
        <v>37</v>
      </c>
      <c r="G161" t="s">
        <v>78</v>
      </c>
      <c r="H161">
        <v>1</v>
      </c>
      <c r="I161">
        <v>57021</v>
      </c>
      <c r="J161">
        <f t="shared" si="2"/>
        <v>57021</v>
      </c>
      <c r="K161" t="s">
        <v>16</v>
      </c>
    </row>
    <row r="162" spans="1:11">
      <c r="A162" t="s">
        <v>517</v>
      </c>
      <c r="B162">
        <v>45556</v>
      </c>
      <c r="C162" t="s">
        <v>518</v>
      </c>
      <c r="D162" t="s">
        <v>519</v>
      </c>
      <c r="E162" t="s">
        <v>31</v>
      </c>
      <c r="F162" t="s">
        <v>45</v>
      </c>
      <c r="G162" t="s">
        <v>46</v>
      </c>
      <c r="H162">
        <v>1</v>
      </c>
      <c r="I162">
        <v>2726</v>
      </c>
      <c r="J162">
        <f t="shared" si="2"/>
        <v>2726</v>
      </c>
      <c r="K162" t="s">
        <v>22</v>
      </c>
    </row>
    <row r="163" spans="1:11">
      <c r="A163" t="s">
        <v>520</v>
      </c>
      <c r="B163">
        <v>45581</v>
      </c>
      <c r="C163" t="s">
        <v>521</v>
      </c>
      <c r="D163" t="s">
        <v>522</v>
      </c>
      <c r="E163" t="s">
        <v>20</v>
      </c>
      <c r="F163" t="s">
        <v>26</v>
      </c>
      <c r="G163" t="s">
        <v>27</v>
      </c>
      <c r="H163">
        <v>1</v>
      </c>
      <c r="I163">
        <v>79166</v>
      </c>
      <c r="J163">
        <f t="shared" si="2"/>
        <v>79166</v>
      </c>
      <c r="K163" t="s">
        <v>33</v>
      </c>
    </row>
    <row r="164" spans="1:11">
      <c r="A164" t="s">
        <v>523</v>
      </c>
      <c r="B164">
        <v>45677</v>
      </c>
      <c r="C164" t="s">
        <v>524</v>
      </c>
      <c r="D164" t="s">
        <v>525</v>
      </c>
      <c r="E164" t="s">
        <v>61</v>
      </c>
      <c r="F164" t="s">
        <v>14</v>
      </c>
      <c r="G164" t="s">
        <v>32</v>
      </c>
      <c r="H164">
        <v>3</v>
      </c>
      <c r="I164">
        <v>131870</v>
      </c>
      <c r="J164">
        <f t="shared" si="2"/>
        <v>395610</v>
      </c>
      <c r="K164" t="s">
        <v>47</v>
      </c>
    </row>
    <row r="165" spans="1:11">
      <c r="A165" t="s">
        <v>526</v>
      </c>
      <c r="B165">
        <v>45763</v>
      </c>
      <c r="C165" t="s">
        <v>527</v>
      </c>
      <c r="D165" t="s">
        <v>528</v>
      </c>
      <c r="E165" t="s">
        <v>20</v>
      </c>
      <c r="F165" t="s">
        <v>14</v>
      </c>
      <c r="G165" t="s">
        <v>108</v>
      </c>
      <c r="H165">
        <v>2</v>
      </c>
      <c r="I165">
        <v>143284</v>
      </c>
      <c r="J165">
        <f t="shared" si="2"/>
        <v>286568</v>
      </c>
      <c r="K165" t="s">
        <v>33</v>
      </c>
    </row>
    <row r="166" spans="1:11">
      <c r="A166" t="s">
        <v>529</v>
      </c>
      <c r="B166">
        <v>45817</v>
      </c>
      <c r="C166" t="s">
        <v>530</v>
      </c>
      <c r="D166" t="s">
        <v>531</v>
      </c>
      <c r="E166" t="s">
        <v>13</v>
      </c>
      <c r="F166" t="s">
        <v>37</v>
      </c>
      <c r="G166" t="s">
        <v>95</v>
      </c>
      <c r="H166">
        <v>2</v>
      </c>
      <c r="I166">
        <v>64523</v>
      </c>
      <c r="J166">
        <f t="shared" si="2"/>
        <v>129046</v>
      </c>
      <c r="K166" t="s">
        <v>16</v>
      </c>
    </row>
    <row r="167" spans="1:11">
      <c r="A167" t="s">
        <v>532</v>
      </c>
      <c r="B167">
        <v>45611</v>
      </c>
      <c r="C167" t="s">
        <v>533</v>
      </c>
      <c r="D167" t="s">
        <v>534</v>
      </c>
      <c r="E167" t="s">
        <v>31</v>
      </c>
      <c r="F167" t="s">
        <v>37</v>
      </c>
      <c r="G167" t="s">
        <v>95</v>
      </c>
      <c r="H167">
        <v>5</v>
      </c>
      <c r="I167">
        <v>91603</v>
      </c>
      <c r="J167">
        <f t="shared" si="2"/>
        <v>458015</v>
      </c>
      <c r="K167" t="s">
        <v>33</v>
      </c>
    </row>
    <row r="168" spans="1:11">
      <c r="A168" t="s">
        <v>535</v>
      </c>
      <c r="B168">
        <v>45706</v>
      </c>
      <c r="C168" t="s">
        <v>536</v>
      </c>
      <c r="D168" t="s">
        <v>537</v>
      </c>
      <c r="E168" t="s">
        <v>13</v>
      </c>
      <c r="F168" t="s">
        <v>14</v>
      </c>
      <c r="G168" t="s">
        <v>32</v>
      </c>
      <c r="H168">
        <v>4</v>
      </c>
      <c r="I168">
        <v>104067</v>
      </c>
      <c r="J168">
        <f t="shared" si="2"/>
        <v>416268</v>
      </c>
      <c r="K168" t="s">
        <v>22</v>
      </c>
    </row>
    <row r="169" spans="1:11">
      <c r="A169" t="s">
        <v>538</v>
      </c>
      <c r="B169">
        <v>45629</v>
      </c>
      <c r="C169" t="s">
        <v>539</v>
      </c>
      <c r="D169" t="s">
        <v>540</v>
      </c>
      <c r="E169" t="s">
        <v>31</v>
      </c>
      <c r="F169" t="s">
        <v>14</v>
      </c>
      <c r="G169" t="s">
        <v>15</v>
      </c>
      <c r="H169">
        <v>5</v>
      </c>
      <c r="I169">
        <v>86285</v>
      </c>
      <c r="J169">
        <f t="shared" si="2"/>
        <v>431425</v>
      </c>
      <c r="K169" t="s">
        <v>47</v>
      </c>
    </row>
    <row r="170" spans="1:11">
      <c r="A170" t="s">
        <v>541</v>
      </c>
      <c r="B170">
        <v>45845</v>
      </c>
      <c r="C170" t="s">
        <v>542</v>
      </c>
      <c r="D170" t="s">
        <v>543</v>
      </c>
      <c r="E170" t="s">
        <v>13</v>
      </c>
      <c r="F170" t="s">
        <v>45</v>
      </c>
      <c r="G170" t="s">
        <v>46</v>
      </c>
      <c r="H170">
        <v>1</v>
      </c>
      <c r="I170">
        <v>1719</v>
      </c>
      <c r="J170">
        <f t="shared" si="2"/>
        <v>1719</v>
      </c>
      <c r="K170" t="s">
        <v>33</v>
      </c>
    </row>
    <row r="171" spans="1:11">
      <c r="A171" t="s">
        <v>544</v>
      </c>
      <c r="B171">
        <v>45694</v>
      </c>
      <c r="C171" t="s">
        <v>545</v>
      </c>
      <c r="D171" t="s">
        <v>546</v>
      </c>
      <c r="E171" t="s">
        <v>61</v>
      </c>
      <c r="F171" t="s">
        <v>26</v>
      </c>
      <c r="G171" t="s">
        <v>294</v>
      </c>
      <c r="H171">
        <v>5</v>
      </c>
      <c r="I171">
        <v>54404</v>
      </c>
      <c r="J171">
        <f t="shared" si="2"/>
        <v>272020</v>
      </c>
      <c r="K171" t="s">
        <v>22</v>
      </c>
    </row>
    <row r="172" spans="1:11">
      <c r="A172" t="s">
        <v>547</v>
      </c>
      <c r="B172">
        <v>45607</v>
      </c>
      <c r="C172" t="s">
        <v>548</v>
      </c>
      <c r="D172" t="s">
        <v>549</v>
      </c>
      <c r="E172" t="s">
        <v>61</v>
      </c>
      <c r="F172" t="s">
        <v>26</v>
      </c>
      <c r="G172" t="s">
        <v>294</v>
      </c>
      <c r="H172">
        <v>5</v>
      </c>
      <c r="I172">
        <v>64595</v>
      </c>
      <c r="J172">
        <f t="shared" si="2"/>
        <v>322975</v>
      </c>
      <c r="K172" t="s">
        <v>22</v>
      </c>
    </row>
    <row r="173" spans="1:11">
      <c r="A173" t="s">
        <v>550</v>
      </c>
      <c r="B173">
        <v>45799</v>
      </c>
      <c r="C173" t="s">
        <v>551</v>
      </c>
      <c r="D173" t="s">
        <v>552</v>
      </c>
      <c r="E173" t="s">
        <v>31</v>
      </c>
      <c r="F173" t="s">
        <v>26</v>
      </c>
      <c r="G173" t="s">
        <v>27</v>
      </c>
      <c r="H173">
        <v>2</v>
      </c>
      <c r="I173">
        <v>36451</v>
      </c>
      <c r="J173">
        <f t="shared" si="2"/>
        <v>72902</v>
      </c>
      <c r="K173" t="s">
        <v>33</v>
      </c>
    </row>
    <row r="174" spans="1:11">
      <c r="A174" t="s">
        <v>553</v>
      </c>
      <c r="B174">
        <v>45628</v>
      </c>
      <c r="C174" t="s">
        <v>554</v>
      </c>
      <c r="D174" t="s">
        <v>555</v>
      </c>
      <c r="E174" t="s">
        <v>20</v>
      </c>
      <c r="F174" t="s">
        <v>37</v>
      </c>
      <c r="G174" t="s">
        <v>62</v>
      </c>
      <c r="H174">
        <v>3</v>
      </c>
      <c r="I174">
        <v>50900</v>
      </c>
      <c r="J174">
        <f t="shared" si="2"/>
        <v>152700</v>
      </c>
      <c r="K174" t="s">
        <v>47</v>
      </c>
    </row>
    <row r="175" spans="1:11">
      <c r="A175" t="s">
        <v>556</v>
      </c>
      <c r="B175">
        <v>45842</v>
      </c>
      <c r="C175" t="s">
        <v>557</v>
      </c>
      <c r="D175" t="s">
        <v>558</v>
      </c>
      <c r="E175" t="s">
        <v>61</v>
      </c>
      <c r="F175" t="s">
        <v>45</v>
      </c>
      <c r="G175" t="s">
        <v>46</v>
      </c>
      <c r="H175">
        <v>1</v>
      </c>
      <c r="I175">
        <v>3891</v>
      </c>
      <c r="J175">
        <f t="shared" si="2"/>
        <v>3891</v>
      </c>
      <c r="K175" t="s">
        <v>47</v>
      </c>
    </row>
    <row r="176" spans="1:11">
      <c r="A176" t="s">
        <v>559</v>
      </c>
      <c r="B176">
        <v>45845</v>
      </c>
      <c r="C176" t="s">
        <v>560</v>
      </c>
      <c r="D176" t="s">
        <v>561</v>
      </c>
      <c r="E176" t="s">
        <v>31</v>
      </c>
      <c r="F176" t="s">
        <v>14</v>
      </c>
      <c r="G176" t="s">
        <v>32</v>
      </c>
      <c r="H176">
        <v>4</v>
      </c>
      <c r="I176">
        <v>12973</v>
      </c>
      <c r="J176">
        <f t="shared" si="2"/>
        <v>51892</v>
      </c>
      <c r="K176" t="s">
        <v>22</v>
      </c>
    </row>
    <row r="177" spans="1:11">
      <c r="A177" t="s">
        <v>562</v>
      </c>
      <c r="B177">
        <v>45625</v>
      </c>
      <c r="C177" t="s">
        <v>563</v>
      </c>
      <c r="D177" t="s">
        <v>564</v>
      </c>
      <c r="E177" t="s">
        <v>20</v>
      </c>
      <c r="F177" t="s">
        <v>45</v>
      </c>
      <c r="G177" t="s">
        <v>144</v>
      </c>
      <c r="H177">
        <v>5</v>
      </c>
      <c r="I177">
        <v>560</v>
      </c>
      <c r="J177">
        <f t="shared" si="2"/>
        <v>2800</v>
      </c>
      <c r="K177" t="s">
        <v>16</v>
      </c>
    </row>
    <row r="178" spans="1:11">
      <c r="A178" t="s">
        <v>565</v>
      </c>
      <c r="B178">
        <v>45732</v>
      </c>
      <c r="C178" t="s">
        <v>566</v>
      </c>
      <c r="D178" t="s">
        <v>567</v>
      </c>
      <c r="E178" t="s">
        <v>61</v>
      </c>
      <c r="F178" t="s">
        <v>14</v>
      </c>
      <c r="G178" t="s">
        <v>15</v>
      </c>
      <c r="H178">
        <v>5</v>
      </c>
      <c r="I178">
        <v>95918</v>
      </c>
      <c r="J178">
        <f t="shared" si="2"/>
        <v>479590</v>
      </c>
      <c r="K178" t="s">
        <v>47</v>
      </c>
    </row>
    <row r="179" spans="1:11">
      <c r="A179" t="s">
        <v>568</v>
      </c>
      <c r="B179">
        <v>45906</v>
      </c>
      <c r="C179" t="s">
        <v>569</v>
      </c>
      <c r="D179" t="s">
        <v>570</v>
      </c>
      <c r="E179" t="s">
        <v>61</v>
      </c>
      <c r="F179" t="s">
        <v>45</v>
      </c>
      <c r="G179" t="s">
        <v>46</v>
      </c>
      <c r="H179">
        <v>1</v>
      </c>
      <c r="I179">
        <v>799</v>
      </c>
      <c r="J179">
        <f t="shared" si="2"/>
        <v>799</v>
      </c>
      <c r="K179" t="s">
        <v>47</v>
      </c>
    </row>
    <row r="180" spans="1:11">
      <c r="A180" t="s">
        <v>571</v>
      </c>
      <c r="B180">
        <v>45908</v>
      </c>
      <c r="C180" t="s">
        <v>572</v>
      </c>
      <c r="D180" t="s">
        <v>573</v>
      </c>
      <c r="E180" t="s">
        <v>13</v>
      </c>
      <c r="F180" t="s">
        <v>26</v>
      </c>
      <c r="G180" t="s">
        <v>124</v>
      </c>
      <c r="H180">
        <v>3</v>
      </c>
      <c r="I180">
        <v>72077</v>
      </c>
      <c r="J180">
        <f t="shared" si="2"/>
        <v>216231</v>
      </c>
      <c r="K180" t="s">
        <v>47</v>
      </c>
    </row>
    <row r="181" spans="1:11">
      <c r="A181" t="s">
        <v>574</v>
      </c>
      <c r="B181">
        <v>45913</v>
      </c>
      <c r="C181" t="s">
        <v>575</v>
      </c>
      <c r="D181" t="s">
        <v>576</v>
      </c>
      <c r="E181" t="s">
        <v>13</v>
      </c>
      <c r="F181" t="s">
        <v>45</v>
      </c>
      <c r="G181" t="s">
        <v>51</v>
      </c>
      <c r="H181">
        <v>2</v>
      </c>
      <c r="I181">
        <v>2276</v>
      </c>
      <c r="J181">
        <f t="shared" si="2"/>
        <v>4552</v>
      </c>
      <c r="K181" t="s">
        <v>16</v>
      </c>
    </row>
    <row r="182" spans="1:11">
      <c r="A182" t="s">
        <v>577</v>
      </c>
      <c r="B182">
        <v>45653</v>
      </c>
      <c r="C182" t="s">
        <v>578</v>
      </c>
      <c r="D182" t="s">
        <v>579</v>
      </c>
      <c r="E182" t="s">
        <v>31</v>
      </c>
      <c r="F182" t="s">
        <v>45</v>
      </c>
      <c r="G182" t="s">
        <v>131</v>
      </c>
      <c r="H182">
        <v>5</v>
      </c>
      <c r="I182">
        <v>514</v>
      </c>
      <c r="J182">
        <f t="shared" si="2"/>
        <v>2570</v>
      </c>
      <c r="K182" t="s">
        <v>33</v>
      </c>
    </row>
    <row r="183" spans="1:11">
      <c r="A183" t="s">
        <v>580</v>
      </c>
      <c r="B183">
        <v>45687</v>
      </c>
      <c r="C183" t="s">
        <v>581</v>
      </c>
      <c r="D183" t="s">
        <v>582</v>
      </c>
      <c r="E183" t="s">
        <v>13</v>
      </c>
      <c r="F183" t="s">
        <v>45</v>
      </c>
      <c r="G183" t="s">
        <v>144</v>
      </c>
      <c r="H183">
        <v>3</v>
      </c>
      <c r="I183">
        <v>2007</v>
      </c>
      <c r="J183">
        <f t="shared" si="2"/>
        <v>6021</v>
      </c>
      <c r="K183" t="s">
        <v>22</v>
      </c>
    </row>
    <row r="184" spans="1:11">
      <c r="A184" t="s">
        <v>583</v>
      </c>
      <c r="B184">
        <v>45619</v>
      </c>
      <c r="C184" t="s">
        <v>584</v>
      </c>
      <c r="D184" t="s">
        <v>585</v>
      </c>
      <c r="E184" t="s">
        <v>20</v>
      </c>
      <c r="F184" t="s">
        <v>14</v>
      </c>
      <c r="G184" t="s">
        <v>15</v>
      </c>
      <c r="H184">
        <v>2</v>
      </c>
      <c r="I184">
        <v>96545</v>
      </c>
      <c r="J184">
        <f t="shared" si="2"/>
        <v>193090</v>
      </c>
      <c r="K184" t="s">
        <v>33</v>
      </c>
    </row>
    <row r="185" spans="1:11">
      <c r="A185" t="s">
        <v>586</v>
      </c>
      <c r="B185">
        <v>45722</v>
      </c>
      <c r="C185" t="s">
        <v>587</v>
      </c>
      <c r="D185" t="s">
        <v>588</v>
      </c>
      <c r="E185" t="s">
        <v>13</v>
      </c>
      <c r="F185" t="s">
        <v>14</v>
      </c>
      <c r="G185" t="s">
        <v>108</v>
      </c>
      <c r="H185">
        <v>4</v>
      </c>
      <c r="I185">
        <v>36845</v>
      </c>
      <c r="J185">
        <f t="shared" si="2"/>
        <v>147380</v>
      </c>
      <c r="K185" t="s">
        <v>16</v>
      </c>
    </row>
    <row r="186" spans="1:11">
      <c r="A186" t="s">
        <v>589</v>
      </c>
      <c r="B186">
        <v>45685</v>
      </c>
      <c r="C186" t="s">
        <v>590</v>
      </c>
      <c r="D186" t="s">
        <v>591</v>
      </c>
      <c r="E186" t="s">
        <v>31</v>
      </c>
      <c r="F186" t="s">
        <v>45</v>
      </c>
      <c r="G186" t="s">
        <v>46</v>
      </c>
      <c r="H186">
        <v>2</v>
      </c>
      <c r="I186">
        <v>2533</v>
      </c>
      <c r="J186">
        <f t="shared" si="2"/>
        <v>5066</v>
      </c>
      <c r="K186" t="s">
        <v>33</v>
      </c>
    </row>
    <row r="187" spans="1:11">
      <c r="A187" t="s">
        <v>592</v>
      </c>
      <c r="B187">
        <v>45653</v>
      </c>
      <c r="C187" t="s">
        <v>593</v>
      </c>
      <c r="D187" t="s">
        <v>594</v>
      </c>
      <c r="E187" t="s">
        <v>20</v>
      </c>
      <c r="F187" t="s">
        <v>26</v>
      </c>
      <c r="G187" t="s">
        <v>27</v>
      </c>
      <c r="H187">
        <v>5</v>
      </c>
      <c r="I187">
        <v>18779</v>
      </c>
      <c r="J187">
        <f t="shared" si="2"/>
        <v>93895</v>
      </c>
      <c r="K187" t="s">
        <v>33</v>
      </c>
    </row>
    <row r="188" spans="1:11">
      <c r="A188" t="s">
        <v>595</v>
      </c>
      <c r="B188">
        <v>45777</v>
      </c>
      <c r="C188" t="s">
        <v>596</v>
      </c>
      <c r="D188" t="s">
        <v>597</v>
      </c>
      <c r="E188" t="s">
        <v>13</v>
      </c>
      <c r="F188" t="s">
        <v>14</v>
      </c>
      <c r="G188" t="s">
        <v>108</v>
      </c>
      <c r="H188">
        <v>4</v>
      </c>
      <c r="I188">
        <v>19790</v>
      </c>
      <c r="J188">
        <f t="shared" si="2"/>
        <v>79160</v>
      </c>
      <c r="K188" t="s">
        <v>22</v>
      </c>
    </row>
    <row r="189" spans="1:11">
      <c r="A189" t="s">
        <v>598</v>
      </c>
      <c r="B189">
        <v>45908</v>
      </c>
      <c r="C189" t="s">
        <v>599</v>
      </c>
      <c r="D189" t="s">
        <v>600</v>
      </c>
      <c r="E189" t="s">
        <v>13</v>
      </c>
      <c r="F189" t="s">
        <v>14</v>
      </c>
      <c r="G189" t="s">
        <v>15</v>
      </c>
      <c r="H189">
        <v>3</v>
      </c>
      <c r="I189">
        <v>113620</v>
      </c>
      <c r="J189">
        <f t="shared" si="2"/>
        <v>340860</v>
      </c>
      <c r="K189" t="s">
        <v>33</v>
      </c>
    </row>
    <row r="190" spans="1:11">
      <c r="A190" t="s">
        <v>601</v>
      </c>
      <c r="B190">
        <v>45623</v>
      </c>
      <c r="C190" t="s">
        <v>602</v>
      </c>
      <c r="D190" t="s">
        <v>603</v>
      </c>
      <c r="E190" t="s">
        <v>61</v>
      </c>
      <c r="F190" t="s">
        <v>26</v>
      </c>
      <c r="G190" t="s">
        <v>124</v>
      </c>
      <c r="H190">
        <v>5</v>
      </c>
      <c r="I190">
        <v>68082</v>
      </c>
      <c r="J190">
        <f t="shared" si="2"/>
        <v>340410</v>
      </c>
      <c r="K190" t="s">
        <v>16</v>
      </c>
    </row>
    <row r="191" spans="1:11">
      <c r="A191" t="s">
        <v>604</v>
      </c>
      <c r="B191">
        <v>45821</v>
      </c>
      <c r="C191" t="s">
        <v>605</v>
      </c>
      <c r="D191" t="s">
        <v>606</v>
      </c>
      <c r="E191" t="s">
        <v>20</v>
      </c>
      <c r="F191" t="s">
        <v>26</v>
      </c>
      <c r="G191" t="s">
        <v>85</v>
      </c>
      <c r="H191">
        <v>4</v>
      </c>
      <c r="I191">
        <v>29059</v>
      </c>
      <c r="J191">
        <f t="shared" si="2"/>
        <v>116236</v>
      </c>
      <c r="K191" t="s">
        <v>16</v>
      </c>
    </row>
    <row r="192" spans="1:11">
      <c r="A192" t="s">
        <v>607</v>
      </c>
      <c r="B192">
        <v>45814</v>
      </c>
      <c r="C192" t="s">
        <v>608</v>
      </c>
      <c r="D192" t="s">
        <v>609</v>
      </c>
      <c r="E192" t="s">
        <v>61</v>
      </c>
      <c r="F192" t="s">
        <v>26</v>
      </c>
      <c r="G192" t="s">
        <v>85</v>
      </c>
      <c r="H192">
        <v>5</v>
      </c>
      <c r="I192">
        <v>23897</v>
      </c>
      <c r="J192">
        <f t="shared" si="2"/>
        <v>119485</v>
      </c>
      <c r="K192" t="s">
        <v>22</v>
      </c>
    </row>
    <row r="193" spans="1:11">
      <c r="A193" t="s">
        <v>610</v>
      </c>
      <c r="B193">
        <v>45870</v>
      </c>
      <c r="C193" t="s">
        <v>611</v>
      </c>
      <c r="D193" t="s">
        <v>612</v>
      </c>
      <c r="E193" t="s">
        <v>61</v>
      </c>
      <c r="F193" t="s">
        <v>26</v>
      </c>
      <c r="G193" t="s">
        <v>294</v>
      </c>
      <c r="H193">
        <v>2</v>
      </c>
      <c r="I193">
        <v>28906</v>
      </c>
      <c r="J193">
        <f t="shared" si="2"/>
        <v>57812</v>
      </c>
      <c r="K193" t="s">
        <v>47</v>
      </c>
    </row>
    <row r="194" spans="1:11">
      <c r="A194" t="s">
        <v>613</v>
      </c>
      <c r="B194">
        <v>45849</v>
      </c>
      <c r="C194" t="s">
        <v>614</v>
      </c>
      <c r="D194" t="s">
        <v>615</v>
      </c>
      <c r="E194" t="s">
        <v>61</v>
      </c>
      <c r="F194" t="s">
        <v>37</v>
      </c>
      <c r="G194" t="s">
        <v>38</v>
      </c>
      <c r="H194">
        <v>4</v>
      </c>
      <c r="I194">
        <v>89057</v>
      </c>
      <c r="J194">
        <f t="shared" ref="J194:J201" si="3">(H194*I194)</f>
        <v>356228</v>
      </c>
      <c r="K194" t="s">
        <v>33</v>
      </c>
    </row>
    <row r="195" spans="1:11">
      <c r="A195" t="s">
        <v>616</v>
      </c>
      <c r="B195">
        <v>45788</v>
      </c>
      <c r="C195" t="s">
        <v>617</v>
      </c>
      <c r="D195" t="s">
        <v>618</v>
      </c>
      <c r="E195" t="s">
        <v>31</v>
      </c>
      <c r="F195" t="s">
        <v>26</v>
      </c>
      <c r="G195" t="s">
        <v>124</v>
      </c>
      <c r="H195">
        <v>5</v>
      </c>
      <c r="I195">
        <v>52872</v>
      </c>
      <c r="J195">
        <f t="shared" si="3"/>
        <v>264360</v>
      </c>
      <c r="K195" t="s">
        <v>22</v>
      </c>
    </row>
    <row r="196" spans="1:11">
      <c r="A196" t="s">
        <v>619</v>
      </c>
      <c r="B196">
        <v>45737</v>
      </c>
      <c r="C196" t="s">
        <v>620</v>
      </c>
      <c r="D196" t="s">
        <v>621</v>
      </c>
      <c r="E196" t="s">
        <v>13</v>
      </c>
      <c r="F196" t="s">
        <v>26</v>
      </c>
      <c r="G196" t="s">
        <v>27</v>
      </c>
      <c r="H196">
        <v>3</v>
      </c>
      <c r="I196">
        <v>73270</v>
      </c>
      <c r="J196">
        <f t="shared" si="3"/>
        <v>219810</v>
      </c>
      <c r="K196" t="s">
        <v>16</v>
      </c>
    </row>
    <row r="197" spans="1:11">
      <c r="A197" t="s">
        <v>622</v>
      </c>
      <c r="B197">
        <v>45852</v>
      </c>
      <c r="C197" t="s">
        <v>623</v>
      </c>
      <c r="D197" t="s">
        <v>624</v>
      </c>
      <c r="E197" t="s">
        <v>20</v>
      </c>
      <c r="F197" t="s">
        <v>37</v>
      </c>
      <c r="G197" t="s">
        <v>95</v>
      </c>
      <c r="H197">
        <v>5</v>
      </c>
      <c r="I197">
        <v>47701</v>
      </c>
      <c r="J197">
        <f t="shared" si="3"/>
        <v>238505</v>
      </c>
      <c r="K197" t="s">
        <v>16</v>
      </c>
    </row>
    <row r="198" spans="1:11">
      <c r="A198" t="s">
        <v>625</v>
      </c>
      <c r="B198">
        <v>45823</v>
      </c>
      <c r="C198" t="s">
        <v>626</v>
      </c>
      <c r="D198" t="s">
        <v>627</v>
      </c>
      <c r="E198" t="s">
        <v>20</v>
      </c>
      <c r="F198" t="s">
        <v>37</v>
      </c>
      <c r="G198" t="s">
        <v>95</v>
      </c>
      <c r="H198">
        <v>5</v>
      </c>
      <c r="I198">
        <v>38264</v>
      </c>
      <c r="J198">
        <f t="shared" si="3"/>
        <v>191320</v>
      </c>
      <c r="K198" t="s">
        <v>22</v>
      </c>
    </row>
    <row r="199" spans="1:11">
      <c r="A199" t="s">
        <v>628</v>
      </c>
      <c r="B199">
        <v>45803</v>
      </c>
      <c r="C199" t="s">
        <v>629</v>
      </c>
      <c r="D199" t="s">
        <v>630</v>
      </c>
      <c r="E199" t="s">
        <v>13</v>
      </c>
      <c r="F199" t="s">
        <v>14</v>
      </c>
      <c r="G199" t="s">
        <v>32</v>
      </c>
      <c r="H199">
        <v>5</v>
      </c>
      <c r="I199">
        <v>84828</v>
      </c>
      <c r="J199">
        <f t="shared" si="3"/>
        <v>424140</v>
      </c>
      <c r="K199" t="s">
        <v>16</v>
      </c>
    </row>
    <row r="200" spans="1:11">
      <c r="A200" t="s">
        <v>631</v>
      </c>
      <c r="B200">
        <v>45615</v>
      </c>
      <c r="C200" t="s">
        <v>632</v>
      </c>
      <c r="D200" t="s">
        <v>633</v>
      </c>
      <c r="E200" t="s">
        <v>20</v>
      </c>
      <c r="F200" t="s">
        <v>45</v>
      </c>
      <c r="G200" t="s">
        <v>51</v>
      </c>
      <c r="H200">
        <v>2</v>
      </c>
      <c r="I200">
        <v>1635</v>
      </c>
      <c r="J200">
        <f t="shared" si="3"/>
        <v>3270</v>
      </c>
      <c r="K200" t="s">
        <v>33</v>
      </c>
    </row>
    <row r="201" spans="1:11">
      <c r="A201" t="s">
        <v>634</v>
      </c>
      <c r="B201">
        <v>45778</v>
      </c>
      <c r="C201" t="s">
        <v>635</v>
      </c>
      <c r="D201" t="s">
        <v>636</v>
      </c>
      <c r="E201" t="s">
        <v>20</v>
      </c>
      <c r="F201" t="s">
        <v>26</v>
      </c>
      <c r="G201" t="s">
        <v>27</v>
      </c>
      <c r="H201">
        <v>4</v>
      </c>
      <c r="I201">
        <v>72467</v>
      </c>
      <c r="J201">
        <f t="shared" si="3"/>
        <v>289868</v>
      </c>
      <c r="K2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retail_sales_data</vt:lpstr>
      <vt:lpstr>PIVOT TABLE </vt:lpstr>
      <vt:lpstr>PV.2</vt:lpstr>
      <vt:lpstr>PV. 3</vt:lpstr>
      <vt:lpstr>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annwmuturi9@gmail.com</cp:lastModifiedBy>
  <dcterms:created xsi:type="dcterms:W3CDTF">2025-09-23T12:03:00Z</dcterms:created>
  <dcterms:modified xsi:type="dcterms:W3CDTF">2025-09-25T08:31:05Z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49C38DEE15944EBEAF6BB79B8510B983_12</vt:lpwstr>
  </property>
  <property fmtid="{D5CDD505-2E9C-101B-9397-08002B2CF9AE}" pid="3" name="KSOProductBuildVer">
    <vt:lpwstr>1033-12.2.0.22549</vt:lpwstr>
  </property>
</Properties>
</file>